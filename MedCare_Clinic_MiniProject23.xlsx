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USER\Downloads\"/>
    </mc:Choice>
  </mc:AlternateContent>
  <xr:revisionPtr revIDLastSave="0" documentId="8_{F3E08D30-2386-473A-AA53-766265DCCCFC}" xr6:coauthVersionLast="47" xr6:coauthVersionMax="47" xr10:uidLastSave="{00000000-0000-0000-0000-000000000000}"/>
  <bookViews>
    <workbookView xWindow="-110" yWindow="-110" windowWidth="19420" windowHeight="10420" tabRatio="749" firstSheet="1" activeTab="2" xr2:uid="{00000000-000D-0000-FFFF-FFFF00000000}"/>
  </bookViews>
  <sheets>
    <sheet name="Raw Data (2)" sheetId="16" r:id="rId1"/>
    <sheet name="worksheet" sheetId="15" r:id="rId2"/>
    <sheet name="change log" sheetId="14" r:id="rId3"/>
    <sheet name="Sheet2" sheetId="13" r:id="rId4"/>
    <sheet name="Raw Data" sheetId="1" r:id="rId5"/>
    <sheet name="Instructions" sheetId="2" r:id="rId6"/>
    <sheet name="Question Set A" sheetId="7" r:id="rId7"/>
    <sheet name="Question Set B" sheetId="8" r:id="rId8"/>
    <sheet name="Question Set C" sheetId="9" r:id="rId9"/>
    <sheet name="Question Set D" sheetId="10" r:id="rId10"/>
    <sheet name="Question Set E" sheetId="11" r:id="rId11"/>
    <sheet name="Sheet6" sheetId="17" r:id="rId1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 i="16" l="1"/>
  <c r="C4" i="16"/>
  <c r="C5" i="16"/>
  <c r="C6" i="16"/>
  <c r="C7" i="16"/>
  <c r="C8" i="16"/>
  <c r="C9" i="16"/>
  <c r="C10" i="16"/>
  <c r="C11" i="16"/>
  <c r="C12" i="16"/>
  <c r="C13" i="16"/>
  <c r="C14" i="16"/>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48" i="16"/>
  <c r="C49" i="16"/>
  <c r="C50" i="16"/>
  <c r="C51" i="16"/>
  <c r="C52" i="16"/>
  <c r="C53" i="16"/>
  <c r="C54" i="16"/>
  <c r="C55" i="16"/>
  <c r="C56" i="16"/>
  <c r="C57" i="16"/>
  <c r="C58" i="16"/>
  <c r="C59" i="16"/>
  <c r="C60" i="16"/>
  <c r="C61" i="16"/>
  <c r="C62" i="16"/>
  <c r="C63" i="16"/>
  <c r="C64" i="16"/>
  <c r="C65" i="16"/>
  <c r="C66" i="16"/>
  <c r="C67" i="16"/>
  <c r="C68" i="16"/>
  <c r="C69" i="16"/>
  <c r="C70" i="16"/>
  <c r="C71" i="16"/>
  <c r="C72" i="16"/>
  <c r="C73" i="16"/>
  <c r="C74" i="16"/>
  <c r="C75" i="16"/>
  <c r="C76" i="16"/>
  <c r="C77" i="16"/>
  <c r="C78" i="16"/>
  <c r="C79" i="16"/>
  <c r="C80" i="16"/>
  <c r="C81" i="16"/>
  <c r="C82" i="16"/>
  <c r="C83" i="16"/>
  <c r="C84" i="16"/>
  <c r="C85" i="16"/>
  <c r="C86" i="16"/>
  <c r="C87" i="16"/>
  <c r="C88" i="16"/>
  <c r="C89" i="16"/>
  <c r="C90" i="16"/>
  <c r="C91" i="16"/>
  <c r="C92" i="16"/>
  <c r="C93" i="16"/>
  <c r="C94" i="16"/>
  <c r="C95" i="16"/>
  <c r="C96" i="16"/>
  <c r="C97" i="16"/>
  <c r="C98" i="16"/>
  <c r="C99" i="16"/>
  <c r="C100" i="16"/>
  <c r="C101" i="16"/>
  <c r="C102" i="16"/>
  <c r="C103" i="16"/>
  <c r="C104" i="16"/>
  <c r="C105" i="16"/>
  <c r="C106" i="16"/>
  <c r="C107" i="16"/>
  <c r="C108" i="16"/>
  <c r="C109" i="16"/>
  <c r="C110" i="16"/>
  <c r="C111" i="16"/>
  <c r="C112" i="16"/>
  <c r="C113" i="16"/>
  <c r="C114" i="16"/>
  <c r="C115" i="16"/>
  <c r="C116" i="16"/>
  <c r="C117" i="16"/>
  <c r="C118" i="16"/>
  <c r="C119" i="16"/>
  <c r="C120" i="16"/>
  <c r="C121" i="16"/>
  <c r="C122" i="16"/>
  <c r="C123" i="16"/>
  <c r="C124" i="16"/>
  <c r="C125" i="16"/>
  <c r="C126" i="16"/>
  <c r="C127" i="16"/>
  <c r="C128" i="16"/>
  <c r="C129" i="16"/>
  <c r="C130" i="16"/>
  <c r="C131" i="16"/>
  <c r="C132" i="16"/>
  <c r="C133" i="16"/>
  <c r="C134" i="16"/>
  <c r="C135" i="16"/>
  <c r="C136" i="16"/>
  <c r="C137" i="16"/>
  <c r="C138" i="16"/>
  <c r="C139" i="16"/>
  <c r="C140" i="16"/>
  <c r="C141" i="16"/>
  <c r="C142" i="16"/>
  <c r="C143" i="16"/>
  <c r="C144" i="16"/>
  <c r="C145" i="16"/>
  <c r="C146" i="16"/>
  <c r="C147" i="16"/>
  <c r="C148" i="16"/>
  <c r="C149" i="16"/>
  <c r="C150" i="16"/>
  <c r="C151" i="16"/>
  <c r="C152" i="16"/>
  <c r="C153" i="16"/>
  <c r="C154" i="16"/>
  <c r="C155" i="16"/>
  <c r="C156" i="16"/>
  <c r="C157" i="16"/>
  <c r="C158" i="16"/>
  <c r="C159" i="16"/>
  <c r="C160" i="16"/>
  <c r="C161" i="16"/>
  <c r="C162" i="16"/>
  <c r="C163" i="16"/>
  <c r="C164" i="16"/>
  <c r="C165" i="16"/>
  <c r="C166" i="16"/>
  <c r="C167" i="16"/>
  <c r="C168" i="16"/>
  <c r="C169" i="16"/>
  <c r="C170" i="16"/>
  <c r="C171" i="16"/>
  <c r="C172" i="16"/>
  <c r="C173" i="16"/>
  <c r="C174" i="16"/>
  <c r="C175" i="16"/>
  <c r="C176" i="16"/>
  <c r="C177" i="16"/>
  <c r="C178" i="16"/>
  <c r="C179" i="16"/>
  <c r="C180" i="16"/>
  <c r="C181" i="16"/>
  <c r="C182" i="16"/>
  <c r="C183" i="16"/>
  <c r="C184" i="16"/>
  <c r="C185" i="16"/>
  <c r="C186" i="16"/>
  <c r="C187" i="16"/>
  <c r="C188" i="16"/>
  <c r="C189" i="16"/>
  <c r="C190" i="16"/>
  <c r="C191" i="16"/>
  <c r="C192" i="16"/>
  <c r="C193" i="16"/>
  <c r="C194" i="16"/>
  <c r="C195" i="16"/>
  <c r="C196" i="16"/>
  <c r="C197" i="16"/>
  <c r="C198" i="16"/>
  <c r="C199" i="16"/>
  <c r="C200" i="16"/>
  <c r="C201" i="16"/>
  <c r="C202" i="16"/>
  <c r="C203" i="16"/>
  <c r="C204" i="16"/>
  <c r="C205" i="16"/>
  <c r="C206" i="16"/>
  <c r="C207" i="16"/>
  <c r="C208" i="16"/>
  <c r="C209" i="16"/>
  <c r="C210" i="16"/>
  <c r="C211" i="16"/>
  <c r="C212" i="16"/>
  <c r="C213" i="16"/>
  <c r="C214" i="16"/>
  <c r="C215" i="16"/>
  <c r="C216" i="16"/>
  <c r="C217" i="16"/>
  <c r="C218" i="16"/>
  <c r="C219" i="16"/>
  <c r="C220" i="16"/>
  <c r="C221" i="16"/>
  <c r="C222" i="16"/>
  <c r="C223" i="16"/>
  <c r="C224" i="16"/>
  <c r="C225" i="16"/>
  <c r="C226" i="16"/>
  <c r="C227" i="16"/>
  <c r="C228" i="16"/>
  <c r="C229" i="16"/>
  <c r="C230" i="16"/>
  <c r="C231" i="16"/>
  <c r="C232" i="16"/>
  <c r="C233" i="16"/>
  <c r="C234" i="16"/>
  <c r="C235" i="16"/>
  <c r="C236" i="16"/>
  <c r="C237" i="16"/>
  <c r="C238" i="16"/>
  <c r="C239" i="16"/>
  <c r="C240" i="16"/>
  <c r="C241" i="16"/>
  <c r="C242" i="16"/>
  <c r="C243" i="16"/>
  <c r="C244" i="16"/>
  <c r="C245" i="16"/>
  <c r="C246" i="16"/>
  <c r="C247" i="16"/>
  <c r="C248" i="16"/>
  <c r="C249" i="16"/>
  <c r="C250" i="16"/>
  <c r="C251" i="16"/>
  <c r="C252" i="16"/>
  <c r="C253" i="16"/>
  <c r="C254" i="16"/>
  <c r="C255" i="16"/>
  <c r="C256" i="16"/>
  <c r="C257" i="16"/>
  <c r="C258" i="16"/>
  <c r="C259" i="16"/>
  <c r="C260" i="16"/>
  <c r="C261" i="16"/>
  <c r="C262" i="16"/>
  <c r="C263" i="16"/>
  <c r="C264" i="16"/>
  <c r="C265" i="16"/>
  <c r="C266" i="16"/>
  <c r="C267" i="16"/>
  <c r="C268" i="16"/>
  <c r="C269" i="16"/>
  <c r="C270" i="16"/>
  <c r="C271" i="16"/>
  <c r="C272" i="16"/>
  <c r="C273" i="16"/>
  <c r="C274" i="16"/>
  <c r="C275" i="16"/>
  <c r="C276" i="16"/>
  <c r="C277" i="16"/>
  <c r="C278" i="16"/>
  <c r="C279" i="16"/>
  <c r="C280" i="16"/>
  <c r="C281" i="16"/>
  <c r="C282" i="16"/>
  <c r="C283" i="16"/>
  <c r="C284" i="16"/>
  <c r="C285" i="16"/>
  <c r="C286" i="16"/>
  <c r="C287" i="16"/>
  <c r="C288" i="16"/>
  <c r="C289" i="16"/>
  <c r="C290" i="16"/>
  <c r="C291" i="16"/>
  <c r="C292" i="16"/>
  <c r="C293" i="16"/>
  <c r="C294" i="16"/>
  <c r="C295" i="16"/>
  <c r="C296" i="16"/>
  <c r="C297" i="16"/>
  <c r="C298" i="16"/>
  <c r="C299" i="16"/>
  <c r="C300" i="16"/>
  <c r="C301" i="16"/>
  <c r="C302" i="16"/>
  <c r="C303" i="16"/>
  <c r="C304" i="16"/>
  <c r="C305" i="16"/>
  <c r="C306" i="16"/>
  <c r="C307" i="16"/>
  <c r="C308" i="16"/>
  <c r="C309" i="16"/>
  <c r="C310" i="16"/>
  <c r="C311" i="16"/>
  <c r="C312" i="16"/>
  <c r="C313" i="16"/>
  <c r="C314" i="16"/>
  <c r="C315" i="16"/>
  <c r="C316" i="16"/>
  <c r="C317" i="16"/>
  <c r="C318" i="16"/>
  <c r="C319" i="16"/>
  <c r="C320" i="16"/>
  <c r="C321" i="16"/>
  <c r="C322" i="16"/>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C154" i="15"/>
  <c r="C155" i="15"/>
  <c r="C156" i="15"/>
  <c r="C157" i="15"/>
  <c r="C158" i="15"/>
  <c r="C159" i="15"/>
  <c r="C160" i="15"/>
  <c r="C161" i="15"/>
  <c r="C162" i="15"/>
  <c r="C163" i="15"/>
  <c r="C164" i="15"/>
  <c r="C16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C301" i="15"/>
  <c r="C302" i="15"/>
  <c r="C303" i="15"/>
  <c r="C304" i="15"/>
  <c r="C305" i="15"/>
  <c r="C306" i="15"/>
  <c r="C307" i="15"/>
  <c r="C308" i="15"/>
  <c r="C309" i="15"/>
  <c r="C310" i="15"/>
  <c r="C311" i="15"/>
  <c r="C312" i="15"/>
  <c r="C313" i="15"/>
  <c r="C314" i="15"/>
  <c r="C315" i="15"/>
  <c r="C316" i="15"/>
  <c r="C317" i="15"/>
  <c r="C318" i="15"/>
  <c r="C319" i="15"/>
  <c r="C320" i="15"/>
  <c r="C321" i="15"/>
  <c r="C322" i="15"/>
  <c r="C3" i="15"/>
</calcChain>
</file>

<file path=xl/sharedStrings.xml><?xml version="1.0" encoding="utf-8"?>
<sst xmlns="http://schemas.openxmlformats.org/spreadsheetml/2006/main" count="7814" uniqueCount="799">
  <si>
    <t>MEDCARE CLINIC &amp; PHARMACY — PATIENT VISIT RECORDS 2023–2024</t>
  </si>
  <si>
    <t>Patient ID</t>
  </si>
  <si>
    <t>Patient Name</t>
  </si>
  <si>
    <t>Age</t>
  </si>
  <si>
    <t>Gender</t>
  </si>
  <si>
    <t>City</t>
  </si>
  <si>
    <t>Visit Date</t>
  </si>
  <si>
    <t>Department</t>
  </si>
  <si>
    <t>Doctor</t>
  </si>
  <si>
    <t>Diagnosis</t>
  </si>
  <si>
    <t>Medicine Prescribed</t>
  </si>
  <si>
    <t>Consultation Fee (₹)</t>
  </si>
  <si>
    <t>Medicine Cost (₹)</t>
  </si>
  <si>
    <t>CL-2024-597</t>
  </si>
  <si>
    <t xml:space="preserve">  AARAV murugan  </t>
  </si>
  <si>
    <t>F</t>
  </si>
  <si>
    <t>Chennai</t>
  </si>
  <si>
    <t>Cardiology</t>
  </si>
  <si>
    <t>Dr. Vikram Nair</t>
  </si>
  <si>
    <t>Arrhythmia</t>
  </si>
  <si>
    <t>Clopidogrel</t>
  </si>
  <si>
    <t>CL-2024-163</t>
  </si>
  <si>
    <t>bhavya  MURUGAN</t>
  </si>
  <si>
    <t>Dr. Priya Reddy</t>
  </si>
  <si>
    <t>Ramipril</t>
  </si>
  <si>
    <t>CL-2024-795</t>
  </si>
  <si>
    <t xml:space="preserve"> Chirag Menon </t>
  </si>
  <si>
    <t>Trichy</t>
  </si>
  <si>
    <t>Pediatrics</t>
  </si>
  <si>
    <t>Dr. Meena Sharma</t>
  </si>
  <si>
    <t>Ear Infection</t>
  </si>
  <si>
    <t>Amoxicillin Syrup</t>
  </si>
  <si>
    <t>CL-2023-778</t>
  </si>
  <si>
    <t xml:space="preserve"> Deepa Pandian </t>
  </si>
  <si>
    <t>M</t>
  </si>
  <si>
    <t>Coimbatore</t>
  </si>
  <si>
    <t>Orthopedics</t>
  </si>
  <si>
    <t>Dr. Karthik Rao</t>
  </si>
  <si>
    <t>Arthritis</t>
  </si>
  <si>
    <t>Diclofenac</t>
  </si>
  <si>
    <t>CL-2024-829</t>
  </si>
  <si>
    <t>ELAN  iyer</t>
  </si>
  <si>
    <t>General Medicine</t>
  </si>
  <si>
    <t>Dr. Suma Menon</t>
  </si>
  <si>
    <t>Gastritis</t>
  </si>
  <si>
    <t>Ciprofloxacin</t>
  </si>
  <si>
    <t>CL-2023-699</t>
  </si>
  <si>
    <t>FATIMA RAO</t>
  </si>
  <si>
    <t>Dermatology</t>
  </si>
  <si>
    <t>Dr. Kavitha Patel</t>
  </si>
  <si>
    <t>Eczema</t>
  </si>
  <si>
    <t>Cetirizine</t>
  </si>
  <si>
    <t>CL-2023-047</t>
  </si>
  <si>
    <t xml:space="preserve"> Ganesh Rao </t>
  </si>
  <si>
    <t>Dr. Sanjay Menon</t>
  </si>
  <si>
    <t>Rash</t>
  </si>
  <si>
    <t>Fluconazole</t>
  </si>
  <si>
    <t>CL-2024-821</t>
  </si>
  <si>
    <t>HEENA PILLAI</t>
  </si>
  <si>
    <t>Dr. Rekha Singh</t>
  </si>
  <si>
    <t>Asthma</t>
  </si>
  <si>
    <t>Paracetamol Syrup</t>
  </si>
  <si>
    <t>CL-2023-233</t>
  </si>
  <si>
    <t xml:space="preserve"> Ishaan Reddy </t>
  </si>
  <si>
    <t>Dr. Suresh Kumar</t>
  </si>
  <si>
    <t>Hypertension</t>
  </si>
  <si>
    <t>Atorvastatin</t>
  </si>
  <si>
    <t>CL-2024-218</t>
  </si>
  <si>
    <t>jasmine singh</t>
  </si>
  <si>
    <t>Salem</t>
  </si>
  <si>
    <t>Dr. Aruna Krishnan</t>
  </si>
  <si>
    <t>Anaemia</t>
  </si>
  <si>
    <t>Amoxicillin</t>
  </si>
  <si>
    <t>CL-2024-063</t>
  </si>
  <si>
    <t xml:space="preserve">  KARTHIK vel  </t>
  </si>
  <si>
    <t>Dr. Divya Iyer</t>
  </si>
  <si>
    <t>Fracture</t>
  </si>
  <si>
    <t>Calcium Tablets</t>
  </si>
  <si>
    <t>CL-2023-136</t>
  </si>
  <si>
    <t>lavanya  MURUGAN</t>
  </si>
  <si>
    <t>Madurai</t>
  </si>
  <si>
    <t>Dr. Ramesh Pillai</t>
  </si>
  <si>
    <t>Muscle Relaxant</t>
  </si>
  <si>
    <t>CL-2024-178</t>
  </si>
  <si>
    <t>mohan rajan</t>
  </si>
  <si>
    <t>Typhoid</t>
  </si>
  <si>
    <t>Iron Tablets</t>
  </si>
  <si>
    <t>CL-2023-247</t>
  </si>
  <si>
    <t xml:space="preserve"> Nisha Mani </t>
  </si>
  <si>
    <t>Dr. Balaji Rajan</t>
  </si>
  <si>
    <t>Pantoprazole</t>
  </si>
  <si>
    <t>CL-2023-813</t>
  </si>
  <si>
    <t>OMKAR  raja</t>
  </si>
  <si>
    <t>Dr. Lalitha Nair</t>
  </si>
  <si>
    <t>Psoriasis</t>
  </si>
  <si>
    <t>Hydrocortisone</t>
  </si>
  <si>
    <t>CL-2023-592</t>
  </si>
  <si>
    <t xml:space="preserve"> Preethi Balan </t>
  </si>
  <si>
    <t>CL-2024-967</t>
  </si>
  <si>
    <t>QASIM REDDY</t>
  </si>
  <si>
    <t>CL-2024-799</t>
  </si>
  <si>
    <t>REKHA PANDIAN</t>
  </si>
  <si>
    <t>CL-2023-709</t>
  </si>
  <si>
    <t>SANJAY  chandran</t>
  </si>
  <si>
    <t>Back Pain</t>
  </si>
  <si>
    <t>CL-2024-280</t>
  </si>
  <si>
    <t xml:space="preserve"> Tanya Menon </t>
  </si>
  <si>
    <t>Tirunelveli</t>
  </si>
  <si>
    <t>CL-2023-682</t>
  </si>
  <si>
    <t>uday  SUBRAMANIAN</t>
  </si>
  <si>
    <t>Fever</t>
  </si>
  <si>
    <t>Salbutamol</t>
  </si>
  <si>
    <t>CL-2024-827</t>
  </si>
  <si>
    <t>VIMALA  vel</t>
  </si>
  <si>
    <t>Clindamycin Gel</t>
  </si>
  <si>
    <t>CL-2024-070</t>
  </si>
  <si>
    <t xml:space="preserve"> Wasim Pandian </t>
  </si>
  <si>
    <t>CL-2024-197</t>
  </si>
  <si>
    <t>xena  DEVI</t>
  </si>
  <si>
    <t>Paracetamol</t>
  </si>
  <si>
    <t>CL-2023-139</t>
  </si>
  <si>
    <t>YOGESH  menon</t>
  </si>
  <si>
    <t>Dr. Anand Verma</t>
  </si>
  <si>
    <t>Malnutrition</t>
  </si>
  <si>
    <t>CL-2024-312</t>
  </si>
  <si>
    <t xml:space="preserve">  ZARA krishnan  </t>
  </si>
  <si>
    <t>CL-2024-613</t>
  </si>
  <si>
    <t>arjun  MURUGAN</t>
  </si>
  <si>
    <t>Diabetes</t>
  </si>
  <si>
    <t>Metformin</t>
  </si>
  <si>
    <t>CL-2023-132</t>
  </si>
  <si>
    <t xml:space="preserve"> Bhanu Mani </t>
  </si>
  <si>
    <t>Sprain</t>
  </si>
  <si>
    <t>Ibuprofen</t>
  </si>
  <si>
    <t>CL-2024-410</t>
  </si>
  <si>
    <t xml:space="preserve"> Chitra Menon </t>
  </si>
  <si>
    <t>Common Cold</t>
  </si>
  <si>
    <t>CL-2023-118</t>
  </si>
  <si>
    <t>dinesh pillai</t>
  </si>
  <si>
    <t>CL-2024-224</t>
  </si>
  <si>
    <t xml:space="preserve">  ESHA narayanan  </t>
  </si>
  <si>
    <t>Benzoyl Peroxide</t>
  </si>
  <si>
    <t>CL-2023-045</t>
  </si>
  <si>
    <t>FARHAN  mani</t>
  </si>
  <si>
    <t>Knee Pain</t>
  </si>
  <si>
    <t>CL-2024-746</t>
  </si>
  <si>
    <t xml:space="preserve"> Geetha Iyer </t>
  </si>
  <si>
    <t>Heart Failure</t>
  </si>
  <si>
    <t>Aspirin</t>
  </si>
  <si>
    <t>CL-2023-690</t>
  </si>
  <si>
    <t xml:space="preserve"> Harish Devi </t>
  </si>
  <si>
    <t>Acne</t>
  </si>
  <si>
    <t>CL-2024-352</t>
  </si>
  <si>
    <t>indira  PATEL</t>
  </si>
  <si>
    <t>Angina</t>
  </si>
  <si>
    <t>CL-2024-853</t>
  </si>
  <si>
    <t>jaya  REDDY</t>
  </si>
  <si>
    <t>CL-2023-243</t>
  </si>
  <si>
    <t xml:space="preserve"> Kiran Raja </t>
  </si>
  <si>
    <t>CL-2024-878</t>
  </si>
  <si>
    <t>LATHA RAJAN</t>
  </si>
  <si>
    <t>CL-2023-988</t>
  </si>
  <si>
    <t xml:space="preserve">  MANI mani  </t>
  </si>
  <si>
    <t>CL-2024-811</t>
  </si>
  <si>
    <t>NALINI REDDY</t>
  </si>
  <si>
    <t>CL-2024-016</t>
  </si>
  <si>
    <t>pavan  CHANDRAN</t>
  </si>
  <si>
    <t>CL-2023-129</t>
  </si>
  <si>
    <t xml:space="preserve"> Radha Patel </t>
  </si>
  <si>
    <t>CL-2023-403</t>
  </si>
  <si>
    <t>CL-2024-206</t>
  </si>
  <si>
    <t>THILAGA  sharma</t>
  </si>
  <si>
    <t>CL-2023-177</t>
  </si>
  <si>
    <t>USHA SINGH</t>
  </si>
  <si>
    <t>Chickenpox</t>
  </si>
  <si>
    <t>CL-2023-368</t>
  </si>
  <si>
    <t>venkat  BALAN</t>
  </si>
  <si>
    <t>CL-2024-750</t>
  </si>
  <si>
    <t>YAMINI  kumar</t>
  </si>
  <si>
    <t>CL-2024-479</t>
  </si>
  <si>
    <t>aditya subramanian</t>
  </si>
  <si>
    <t>CL-2023-230</t>
  </si>
  <si>
    <t>BHARATHI  menon</t>
  </si>
  <si>
    <t>CL-2024-089</t>
  </si>
  <si>
    <t>CHANDRU  krishnan</t>
  </si>
  <si>
    <t>CL-2024-660</t>
  </si>
  <si>
    <t>devika  BALAN</t>
  </si>
  <si>
    <t>CL-2024-455</t>
  </si>
  <si>
    <t>elango  REDDY</t>
  </si>
  <si>
    <t>Vitamin D</t>
  </si>
  <si>
    <t>CL-2023-035</t>
  </si>
  <si>
    <t>FATHIMA  narayanan</t>
  </si>
  <si>
    <t>Chest Pain</t>
  </si>
  <si>
    <t>CL-2024-561</t>
  </si>
  <si>
    <t>gopal  RAJAN</t>
  </si>
  <si>
    <t>CL-2023-062</t>
  </si>
  <si>
    <t>HEMA MENON</t>
  </si>
  <si>
    <t>Amlodipine</t>
  </si>
  <si>
    <t>CL-2023-376</t>
  </si>
  <si>
    <t xml:space="preserve">  ILANGO pandian  </t>
  </si>
  <si>
    <t>CL-2024-290</t>
  </si>
  <si>
    <t xml:space="preserve">  JANANI narayanan  </t>
  </si>
  <si>
    <t>CL-2023-549</t>
  </si>
  <si>
    <t xml:space="preserve"> Kabilan Sharma </t>
  </si>
  <si>
    <t>CL-2023-348</t>
  </si>
  <si>
    <t>LALITHA  krishnan</t>
  </si>
  <si>
    <t>CL-2023-494</t>
  </si>
  <si>
    <t>MUTHU PILLAI</t>
  </si>
  <si>
    <t>CL-2024-823</t>
  </si>
  <si>
    <t xml:space="preserve"> Nandini Menon </t>
  </si>
  <si>
    <t>CL-2023-728</t>
  </si>
  <si>
    <t xml:space="preserve"> Prakash Raja </t>
  </si>
  <si>
    <t>CL-2024-254</t>
  </si>
  <si>
    <t xml:space="preserve">  RAMYA iyer  </t>
  </si>
  <si>
    <t>CL-2024-198</t>
  </si>
  <si>
    <t xml:space="preserve">  SELVAM vel  </t>
  </si>
  <si>
    <t>CL-2023-987</t>
  </si>
  <si>
    <t>thenmozhi narayanan</t>
  </si>
  <si>
    <t>CL-2023-721</t>
  </si>
  <si>
    <t>UMA  pandian</t>
  </si>
  <si>
    <t>CL-2023-090</t>
  </si>
  <si>
    <t>VIJAYA IYER</t>
  </si>
  <si>
    <t>CL-2024-439</t>
  </si>
  <si>
    <t>anbu rajan</t>
  </si>
  <si>
    <t>CL-2024-688</t>
  </si>
  <si>
    <t>bala mani</t>
  </si>
  <si>
    <t>Metoprolol</t>
  </si>
  <si>
    <t>CL-2023-168</t>
  </si>
  <si>
    <t>chandra  IYER</t>
  </si>
  <si>
    <t>CL-2023-530</t>
  </si>
  <si>
    <t xml:space="preserve"> Durai Sharma </t>
  </si>
  <si>
    <t>CL-2024-767</t>
  </si>
  <si>
    <t>ezhil  NAIR</t>
  </si>
  <si>
    <t>CL-2023-925</t>
  </si>
  <si>
    <t>GUNA  kumar</t>
  </si>
  <si>
    <t>CL-2023-370</t>
  </si>
  <si>
    <t xml:space="preserve"> Hari Iyer </t>
  </si>
  <si>
    <t>CL-2023-873</t>
  </si>
  <si>
    <t>indu  CHANDRAN</t>
  </si>
  <si>
    <t>CL-2023-826</t>
  </si>
  <si>
    <t>jothi  MANI</t>
  </si>
  <si>
    <t>CL-2024-288</t>
  </si>
  <si>
    <t>KAMAL SUBRAMANIAN</t>
  </si>
  <si>
    <t>CL-2023-526</t>
  </si>
  <si>
    <t xml:space="preserve"> Lekha Reddy </t>
  </si>
  <si>
    <t>CL-2024-966</t>
  </si>
  <si>
    <t>malar  SUBRAMANIAN</t>
  </si>
  <si>
    <t>CL-2023-707</t>
  </si>
  <si>
    <t>NAGA  selvam</t>
  </si>
  <si>
    <t>CL-2024-317</t>
  </si>
  <si>
    <t>oviya reddy</t>
  </si>
  <si>
    <t>CL-2024-706</t>
  </si>
  <si>
    <t xml:space="preserve"> Pari Pillai </t>
  </si>
  <si>
    <t>CL-2023-848</t>
  </si>
  <si>
    <t xml:space="preserve"> Raja Verma </t>
  </si>
  <si>
    <t>CL-2024-460</t>
  </si>
  <si>
    <t>suba pandian</t>
  </si>
  <si>
    <t>Fungal Infection</t>
  </si>
  <si>
    <t>CL-2024-219</t>
  </si>
  <si>
    <t>tamil  KUMAR</t>
  </si>
  <si>
    <t>CL-2024-193</t>
  </si>
  <si>
    <t>vani murugan</t>
  </si>
  <si>
    <t>CL-2024-599</t>
  </si>
  <si>
    <t xml:space="preserve"> Yamuna Patel </t>
  </si>
  <si>
    <t>CL-2024-200</t>
  </si>
  <si>
    <t xml:space="preserve">  ABINAYA pillai  </t>
  </si>
  <si>
    <t>CL-2024-536</t>
  </si>
  <si>
    <t>BOOPATHI  rajan</t>
  </si>
  <si>
    <t>CL-2023-276</t>
  </si>
  <si>
    <t xml:space="preserve"> Chelvi Murugan </t>
  </si>
  <si>
    <t>CL-2023-485</t>
  </si>
  <si>
    <t xml:space="preserve"> Deva Menon </t>
  </si>
  <si>
    <t>CL-2023-232</t>
  </si>
  <si>
    <t xml:space="preserve">  ELAYA sharma  </t>
  </si>
  <si>
    <t>CL-2023-512</t>
  </si>
  <si>
    <t>GURU  selvam</t>
  </si>
  <si>
    <t>CL-2023-446</t>
  </si>
  <si>
    <t>haran  MENON</t>
  </si>
  <si>
    <t>CL-2024-559</t>
  </si>
  <si>
    <t xml:space="preserve">  ILAVARSI narayanan  </t>
  </si>
  <si>
    <t>CL-2023-087</t>
  </si>
  <si>
    <t xml:space="preserve"> Jeeva Singh </t>
  </si>
  <si>
    <t>CL-2023-522</t>
  </si>
  <si>
    <t xml:space="preserve">  KAVI balan  </t>
  </si>
  <si>
    <t>CL-2024-791</t>
  </si>
  <si>
    <t>aarav  MURUGAN</t>
  </si>
  <si>
    <t>CL-2024-653</t>
  </si>
  <si>
    <t>BHAVYA  pillai</t>
  </si>
  <si>
    <t>CL-2023-260</t>
  </si>
  <si>
    <t>chirag krishnan</t>
  </si>
  <si>
    <t>CL-2024-186</t>
  </si>
  <si>
    <t>deepa raja</t>
  </si>
  <si>
    <t>CL-2023-380</t>
  </si>
  <si>
    <t>elan chandran</t>
  </si>
  <si>
    <t>CL-2023-085</t>
  </si>
  <si>
    <t>FATIMA SHARMA</t>
  </si>
  <si>
    <t>CL-2023-263</t>
  </si>
  <si>
    <t>ganesh  PILLAI</t>
  </si>
  <si>
    <t>Acyclovir</t>
  </si>
  <si>
    <t>CL-2024-716</t>
  </si>
  <si>
    <t>HEENA  vel</t>
  </si>
  <si>
    <t>CL-2023-313</t>
  </si>
  <si>
    <t xml:space="preserve">  ISHAAN raja  </t>
  </si>
  <si>
    <t>CL-2024-875</t>
  </si>
  <si>
    <t>JASMINE PANDIAN</t>
  </si>
  <si>
    <t>CL-2024-859</t>
  </si>
  <si>
    <t xml:space="preserve"> Karthik Vel </t>
  </si>
  <si>
    <t>CL-2024-340</t>
  </si>
  <si>
    <t xml:space="preserve"> Lavanya Pillai </t>
  </si>
  <si>
    <t>CL-2023-568</t>
  </si>
  <si>
    <t xml:space="preserve"> Mohan Pandian </t>
  </si>
  <si>
    <t>CL-2023-544</t>
  </si>
  <si>
    <t xml:space="preserve">  NISHA subramanian  </t>
  </si>
  <si>
    <t>CL-2023-097</t>
  </si>
  <si>
    <t xml:space="preserve">  OMKAR nair  </t>
  </si>
  <si>
    <t>CL-2023-493</t>
  </si>
  <si>
    <t>preethi  NAIR</t>
  </si>
  <si>
    <t>CL-2024-505</t>
  </si>
  <si>
    <t xml:space="preserve">  QASIM nair  </t>
  </si>
  <si>
    <t>CL-2023-436</t>
  </si>
  <si>
    <t>rekha  PILLAI</t>
  </si>
  <si>
    <t>CL-2024-687</t>
  </si>
  <si>
    <t>SANJAY VERMA</t>
  </si>
  <si>
    <t>CL-2023-922</t>
  </si>
  <si>
    <t>tanya iyer</t>
  </si>
  <si>
    <t>CL-2023-620</t>
  </si>
  <si>
    <t>UDAY  iyer</t>
  </si>
  <si>
    <t>CL-2024-764</t>
  </si>
  <si>
    <t>VIMALA SUBRAMANIAN</t>
  </si>
  <si>
    <t>CL-2024-801</t>
  </si>
  <si>
    <t>WASIM PILLAI</t>
  </si>
  <si>
    <t>CL-2023-178</t>
  </si>
  <si>
    <t xml:space="preserve">  XENA menon  </t>
  </si>
  <si>
    <t>CL-2024-518</t>
  </si>
  <si>
    <t>YOGESH BALAN</t>
  </si>
  <si>
    <t>CL-2023-194</t>
  </si>
  <si>
    <t>ZARA PATEL</t>
  </si>
  <si>
    <t>CL-2023-298</t>
  </si>
  <si>
    <t>arjun chandran</t>
  </si>
  <si>
    <t>CL-2023-855</t>
  </si>
  <si>
    <t>BHANU RAO</t>
  </si>
  <si>
    <t>CL-2024-057</t>
  </si>
  <si>
    <t>CHITRA  singh</t>
  </si>
  <si>
    <t>CL-2024-244</t>
  </si>
  <si>
    <t>DINESH  nair</t>
  </si>
  <si>
    <t>CL-2024-952</t>
  </si>
  <si>
    <t>ESHA  krishnan</t>
  </si>
  <si>
    <t>CL-2023-767</t>
  </si>
  <si>
    <t xml:space="preserve"> Farhan Iyer </t>
  </si>
  <si>
    <t>CL-2023-024</t>
  </si>
  <si>
    <t>GEETHA  mani</t>
  </si>
  <si>
    <t>CL-2023-071</t>
  </si>
  <si>
    <t>harish reddy</t>
  </si>
  <si>
    <t>CL-2023-158</t>
  </si>
  <si>
    <t xml:space="preserve"> Indira Rajan </t>
  </si>
  <si>
    <t>CL-2024-885</t>
  </si>
  <si>
    <t xml:space="preserve"> Jaya Verma </t>
  </si>
  <si>
    <t>CL-2024-891</t>
  </si>
  <si>
    <t>KIRAN  kumar</t>
  </si>
  <si>
    <t>CL-2023-215</t>
  </si>
  <si>
    <t xml:space="preserve">  LATHA devi  </t>
  </si>
  <si>
    <t>CL-2024-066</t>
  </si>
  <si>
    <t xml:space="preserve">  MANI sharma  </t>
  </si>
  <si>
    <t>CL-2023-880</t>
  </si>
  <si>
    <t>nalini patel</t>
  </si>
  <si>
    <t>CL-2024-267</t>
  </si>
  <si>
    <t>pavan  MENON</t>
  </si>
  <si>
    <t>CL-2024-113</t>
  </si>
  <si>
    <t>radha murugan</t>
  </si>
  <si>
    <t>CL-2024-323</t>
  </si>
  <si>
    <t xml:space="preserve"> Suresh Murugan </t>
  </si>
  <si>
    <t>ORS Sachet</t>
  </si>
  <si>
    <t>CL-2023-825</t>
  </si>
  <si>
    <t xml:space="preserve"> Thilaga Patel </t>
  </si>
  <si>
    <t>CL-2023-397</t>
  </si>
  <si>
    <t>USHA MURUGAN</t>
  </si>
  <si>
    <t>CL-2024-158</t>
  </si>
  <si>
    <t xml:space="preserve"> Venkat Murugan </t>
  </si>
  <si>
    <t>CL-2024-664</t>
  </si>
  <si>
    <t>YAMINI  subramanian</t>
  </si>
  <si>
    <t>CL-2024-093</t>
  </si>
  <si>
    <t xml:space="preserve">  ADITYA krishnan  </t>
  </si>
  <si>
    <t>CL-2023-200</t>
  </si>
  <si>
    <t xml:space="preserve"> Bharathi Balan </t>
  </si>
  <si>
    <t>CL-2024-342</t>
  </si>
  <si>
    <t xml:space="preserve">  CHANDRU reddy  </t>
  </si>
  <si>
    <t>CL-2023-625</t>
  </si>
  <si>
    <t>DEVIKA  iyer</t>
  </si>
  <si>
    <t>CL-2024-699</t>
  </si>
  <si>
    <t>elango  SHARMA</t>
  </si>
  <si>
    <t>CL-2024-819</t>
  </si>
  <si>
    <t xml:space="preserve"> Fathima Krishnan </t>
  </si>
  <si>
    <t>CL-2023-063</t>
  </si>
  <si>
    <t>gopal  VEL</t>
  </si>
  <si>
    <t>CL-2023-072</t>
  </si>
  <si>
    <t xml:space="preserve"> Hema Murugan </t>
  </si>
  <si>
    <t>CL-2023-891</t>
  </si>
  <si>
    <t xml:space="preserve">  ILANGO narayanan  </t>
  </si>
  <si>
    <t>CL-2023-339</t>
  </si>
  <si>
    <t>janani rao</t>
  </si>
  <si>
    <t>CL-2024-188</t>
  </si>
  <si>
    <t xml:space="preserve"> Kabilan Verma </t>
  </si>
  <si>
    <t>CL-2024-270</t>
  </si>
  <si>
    <t xml:space="preserve"> Lalitha Selvam </t>
  </si>
  <si>
    <t>CL-2023-619</t>
  </si>
  <si>
    <t>muthu rao</t>
  </si>
  <si>
    <t>CL-2024-327</t>
  </si>
  <si>
    <t>NANDINI SELVAM</t>
  </si>
  <si>
    <t>CL-2023-892</t>
  </si>
  <si>
    <t xml:space="preserve"> Prakash Vel </t>
  </si>
  <si>
    <t>CL-2023-652</t>
  </si>
  <si>
    <t xml:space="preserve">  RAMYA verma  </t>
  </si>
  <si>
    <t>CL-2024-277</t>
  </si>
  <si>
    <t xml:space="preserve"> Selvam Nair </t>
  </si>
  <si>
    <t>CL-2024-560</t>
  </si>
  <si>
    <t xml:space="preserve">  THENMOZHI raja  </t>
  </si>
  <si>
    <t>CL-2024-855</t>
  </si>
  <si>
    <t>UMA VEL</t>
  </si>
  <si>
    <t>CL-2023-612</t>
  </si>
  <si>
    <t xml:space="preserve"> Vijaya Patel </t>
  </si>
  <si>
    <t>CL-2023-042</t>
  </si>
  <si>
    <t>ANBU MENON</t>
  </si>
  <si>
    <t>CL-2023-731</t>
  </si>
  <si>
    <t>BALA RAJA</t>
  </si>
  <si>
    <t>CL-2023-120</t>
  </si>
  <si>
    <t>CHANDRA  mani</t>
  </si>
  <si>
    <t>CL-2024-772</t>
  </si>
  <si>
    <t xml:space="preserve"> Durai Raja </t>
  </si>
  <si>
    <t>CL-2023-074</t>
  </si>
  <si>
    <t>EZHIL  rao</t>
  </si>
  <si>
    <t>CL-2024-106</t>
  </si>
  <si>
    <t>GUNA  murugan</t>
  </si>
  <si>
    <t>CL-2023-975</t>
  </si>
  <si>
    <t xml:space="preserve">  HARI verma  </t>
  </si>
  <si>
    <t>CL-2024-745</t>
  </si>
  <si>
    <t>INDU  narayanan</t>
  </si>
  <si>
    <t>CL-2024-281</t>
  </si>
  <si>
    <t>JOTHI REDDY</t>
  </si>
  <si>
    <t>CL-2024-817</t>
  </si>
  <si>
    <t xml:space="preserve"> Kamal Narayanan </t>
  </si>
  <si>
    <t>CL-2024-649</t>
  </si>
  <si>
    <t>LEKHA  subramanian</t>
  </si>
  <si>
    <t>CL-2023-487</t>
  </si>
  <si>
    <t>MALAR  singh</t>
  </si>
  <si>
    <t>CL-2023-878</t>
  </si>
  <si>
    <t>naga reddy</t>
  </si>
  <si>
    <t>CL-2024-077</t>
  </si>
  <si>
    <t>OVIYA  rajan</t>
  </si>
  <si>
    <t>CL-2024-454</t>
  </si>
  <si>
    <t xml:space="preserve"> Pari Verma </t>
  </si>
  <si>
    <t>CL-2024-271</t>
  </si>
  <si>
    <t>RAJA  mani</t>
  </si>
  <si>
    <t>CL-2023-400</t>
  </si>
  <si>
    <t>suba  PATEL</t>
  </si>
  <si>
    <t>CL-2024-448</t>
  </si>
  <si>
    <t>tamil  CHANDRAN</t>
  </si>
  <si>
    <t>CL-2023-955</t>
  </si>
  <si>
    <t>vani  BALAN</t>
  </si>
  <si>
    <t>CL-2023-306</t>
  </si>
  <si>
    <t>yamuna  PILLAI</t>
  </si>
  <si>
    <t>CL-2023-870</t>
  </si>
  <si>
    <t>abinaya  SINGH</t>
  </si>
  <si>
    <t>CL-2024-741</t>
  </si>
  <si>
    <t>boopathi  SUBRAMANIAN</t>
  </si>
  <si>
    <t>CL-2024-959</t>
  </si>
  <si>
    <t>chelvi  VERMA</t>
  </si>
  <si>
    <t>CL-2023-821</t>
  </si>
  <si>
    <t xml:space="preserve"> Deva Subramanian </t>
  </si>
  <si>
    <t>CL-2024-701</t>
  </si>
  <si>
    <t xml:space="preserve"> Elaya Mani </t>
  </si>
  <si>
    <t>CL-2024-469</t>
  </si>
  <si>
    <t>guru  PANDIAN</t>
  </si>
  <si>
    <t>CL-2023-589</t>
  </si>
  <si>
    <t>HARAN IYER</t>
  </si>
  <si>
    <t>CL-2024-371</t>
  </si>
  <si>
    <t>ilavarsi verma</t>
  </si>
  <si>
    <t>CL-2024-068</t>
  </si>
  <si>
    <t>JEEVA  murugan</t>
  </si>
  <si>
    <t>CL-2024-464</t>
  </si>
  <si>
    <t xml:space="preserve">  KAVI mani  </t>
  </si>
  <si>
    <t>CL-2023-472</t>
  </si>
  <si>
    <t xml:space="preserve">  AARAV mani  </t>
  </si>
  <si>
    <t>CL-2023-616</t>
  </si>
  <si>
    <t xml:space="preserve"> Bhavya Pandian </t>
  </si>
  <si>
    <t>CL-2024-930</t>
  </si>
  <si>
    <t>CHIRAG PANDIAN</t>
  </si>
  <si>
    <t>CL-2023-094</t>
  </si>
  <si>
    <t xml:space="preserve"> Deepa Mani </t>
  </si>
  <si>
    <t>CL-2024-830</t>
  </si>
  <si>
    <t>ELAN RAJA</t>
  </si>
  <si>
    <t>CL-2024-948</t>
  </si>
  <si>
    <t>fatima  NARAYANAN</t>
  </si>
  <si>
    <t>CL-2023-297</t>
  </si>
  <si>
    <t xml:space="preserve"> Ganesh Menon </t>
  </si>
  <si>
    <t>CL-2023-645</t>
  </si>
  <si>
    <t>heena murugan</t>
  </si>
  <si>
    <t>CL-2023-111</t>
  </si>
  <si>
    <t>ishaan patel</t>
  </si>
  <si>
    <t>CL-2023-785</t>
  </si>
  <si>
    <t xml:space="preserve">  JASMINE menon  </t>
  </si>
  <si>
    <t>CL-2024-010</t>
  </si>
  <si>
    <t xml:space="preserve"> Karthik Krishnan </t>
  </si>
  <si>
    <t>CL-2023-351</t>
  </si>
  <si>
    <t>LAVANYA KUMAR</t>
  </si>
  <si>
    <t>CL-2024-849</t>
  </si>
  <si>
    <t>MOHAN  mani</t>
  </si>
  <si>
    <t>CL-2024-835</t>
  </si>
  <si>
    <t>nisha krishnan</t>
  </si>
  <si>
    <t>CL-2024-394</t>
  </si>
  <si>
    <t xml:space="preserve"> Omkar Raja </t>
  </si>
  <si>
    <t>CL-2023-604</t>
  </si>
  <si>
    <t>PREETHI VERMA</t>
  </si>
  <si>
    <t>CL-2024-421</t>
  </si>
  <si>
    <t xml:space="preserve"> Qasim Menon </t>
  </si>
  <si>
    <t>CL-2023-156</t>
  </si>
  <si>
    <t>REKHA  mani</t>
  </si>
  <si>
    <t>CL-2024-382</t>
  </si>
  <si>
    <t>SANJAY  mani</t>
  </si>
  <si>
    <t>CL-2023-753</t>
  </si>
  <si>
    <t>CL-2024-867</t>
  </si>
  <si>
    <t>UDAY SELVAM</t>
  </si>
  <si>
    <t>CL-2023-722</t>
  </si>
  <si>
    <t xml:space="preserve"> Vimala Singh </t>
  </si>
  <si>
    <t>CL-2024-441</t>
  </si>
  <si>
    <t>wasim  MANI</t>
  </si>
  <si>
    <t>CL-2024-585</t>
  </si>
  <si>
    <t>XENA SUBRAMANIAN</t>
  </si>
  <si>
    <t>CL-2024-759</t>
  </si>
  <si>
    <t>yogesh vel</t>
  </si>
  <si>
    <t>CL-2023-982</t>
  </si>
  <si>
    <t xml:space="preserve"> Zara Raja </t>
  </si>
  <si>
    <t>CL-2023-077</t>
  </si>
  <si>
    <t>arjun  RAO</t>
  </si>
  <si>
    <t>CL-2023-660</t>
  </si>
  <si>
    <t xml:space="preserve"> Bhanu Subramanian </t>
  </si>
  <si>
    <t>CL-2024-804</t>
  </si>
  <si>
    <t xml:space="preserve">  CHITRA krishnan  </t>
  </si>
  <si>
    <t>CL-2023-817</t>
  </si>
  <si>
    <t xml:space="preserve"> Dinesh Mani </t>
  </si>
  <si>
    <t>CL-2024-109</t>
  </si>
  <si>
    <t xml:space="preserve">  ESHA murugan  </t>
  </si>
  <si>
    <t>CL-2024-995</t>
  </si>
  <si>
    <t>farhan  KUMAR</t>
  </si>
  <si>
    <t>CL-2024-510</t>
  </si>
  <si>
    <t xml:space="preserve">  GEETHA nair  </t>
  </si>
  <si>
    <t>CL-2023-151</t>
  </si>
  <si>
    <t>HARISH  rajan</t>
  </si>
  <si>
    <t>CL-2024-887</t>
  </si>
  <si>
    <t>indira  BALAN</t>
  </si>
  <si>
    <t>CL-2023-561</t>
  </si>
  <si>
    <t xml:space="preserve">  JAYA menon  </t>
  </si>
  <si>
    <t>CL-2023-636</t>
  </si>
  <si>
    <t xml:space="preserve"> Kiran Kumar </t>
  </si>
  <si>
    <t>CL-2024-229</t>
  </si>
  <si>
    <t>LATHA  rajan</t>
  </si>
  <si>
    <t>CL-2024-577</t>
  </si>
  <si>
    <t>mani  VERMA</t>
  </si>
  <si>
    <t>CL-2024-353</t>
  </si>
  <si>
    <t>NALINI MANI</t>
  </si>
  <si>
    <t>CL-2023-021</t>
  </si>
  <si>
    <t xml:space="preserve"> Pavan Vel </t>
  </si>
  <si>
    <t>CL-2024-420</t>
  </si>
  <si>
    <t xml:space="preserve">  RADHA iyer  </t>
  </si>
  <si>
    <t>CL-2024-605</t>
  </si>
  <si>
    <t>suresh  RAJAN</t>
  </si>
  <si>
    <t>CL-2024-929</t>
  </si>
  <si>
    <t>thilaga  NARAYANAN</t>
  </si>
  <si>
    <t>CL-2024-300</t>
  </si>
  <si>
    <t>USHA  menon</t>
  </si>
  <si>
    <t>CL-2024-430</t>
  </si>
  <si>
    <t>VENKAT  singh</t>
  </si>
  <si>
    <t>CL-2023-788</t>
  </si>
  <si>
    <t>YAMINI  vel</t>
  </si>
  <si>
    <t>CL-2024-725</t>
  </si>
  <si>
    <t>aditya  VEL</t>
  </si>
  <si>
    <t>CL-2023-832</t>
  </si>
  <si>
    <t xml:space="preserve"> Bharathi Subramanian </t>
  </si>
  <si>
    <t>CL-2024-775</t>
  </si>
  <si>
    <t>chandru  NARAYANAN</t>
  </si>
  <si>
    <t>CL-2023-606</t>
  </si>
  <si>
    <t>DEVIKA BALAN</t>
  </si>
  <si>
    <t>CL-2024-021</t>
  </si>
  <si>
    <t>elango rajan</t>
  </si>
  <si>
    <t>CL-2023-226</t>
  </si>
  <si>
    <t>FATHIMA SELVAM</t>
  </si>
  <si>
    <t>CL-2023-954</t>
  </si>
  <si>
    <t>GOPAL PANDIAN</t>
  </si>
  <si>
    <t>CL-2024-715</t>
  </si>
  <si>
    <t xml:space="preserve"> Hema Selvam </t>
  </si>
  <si>
    <t>CL-2023-460</t>
  </si>
  <si>
    <t xml:space="preserve"> Ilango Pandian </t>
  </si>
  <si>
    <t>CL-2024-780</t>
  </si>
  <si>
    <t>JANANI VERMA</t>
  </si>
  <si>
    <t>CL-2023-302</t>
  </si>
  <si>
    <t xml:space="preserve">  KABILAN menon  </t>
  </si>
  <si>
    <t>CL-2023-375</t>
  </si>
  <si>
    <t xml:space="preserve"> Lalitha Vel </t>
  </si>
  <si>
    <t>CL-2023-970</t>
  </si>
  <si>
    <t xml:space="preserve">  MUTHU kumar  </t>
  </si>
  <si>
    <t>CL-2023-546</t>
  </si>
  <si>
    <t xml:space="preserve"> Nandini Nair </t>
  </si>
  <si>
    <t>CL-2023-983</t>
  </si>
  <si>
    <t>prakash  VERMA</t>
  </si>
  <si>
    <t>CL-2023-253</t>
  </si>
  <si>
    <t>RAMYA  reddy</t>
  </si>
  <si>
    <t>CL-2023-147</t>
  </si>
  <si>
    <t xml:space="preserve">  SELVAM devi  </t>
  </si>
  <si>
    <t>CL-2023-019</t>
  </si>
  <si>
    <t>thenmozhi  SHARMA</t>
  </si>
  <si>
    <t>CL-2023-016</t>
  </si>
  <si>
    <t>UMA SHARMA</t>
  </si>
  <si>
    <t>CL-2023-144</t>
  </si>
  <si>
    <t>VIJAYA  subramanian</t>
  </si>
  <si>
    <t>CL-2024-606</t>
  </si>
  <si>
    <t xml:space="preserve"> Anbu Verma </t>
  </si>
  <si>
    <t>CL-2023-255</t>
  </si>
  <si>
    <t xml:space="preserve"> Bala Krishnan </t>
  </si>
  <si>
    <t>CL-2024-634</t>
  </si>
  <si>
    <t>CHANDRA  balan</t>
  </si>
  <si>
    <t>CL-2024-284</t>
  </si>
  <si>
    <t xml:space="preserve">  DURAI selvam  </t>
  </si>
  <si>
    <t>CL-2024-782</t>
  </si>
  <si>
    <t>ezhil raja</t>
  </si>
  <si>
    <t>CL-2024-645</t>
  </si>
  <si>
    <t>GUNA  devi</t>
  </si>
  <si>
    <t>CL-2023-948</t>
  </si>
  <si>
    <t>HARI DEVI</t>
  </si>
  <si>
    <t>CL-2023-492</t>
  </si>
  <si>
    <t xml:space="preserve"> Indu Verma </t>
  </si>
  <si>
    <t>CL-2023-070</t>
  </si>
  <si>
    <t>JOTHI  menon</t>
  </si>
  <si>
    <t>CL-2023-433</t>
  </si>
  <si>
    <t>KAMAL NAIR</t>
  </si>
  <si>
    <t>CL-2024-525</t>
  </si>
  <si>
    <t xml:space="preserve">  LEKHA murugan  </t>
  </si>
  <si>
    <t>CL-2024-243</t>
  </si>
  <si>
    <t>malar murugan</t>
  </si>
  <si>
    <t>CL-2023-383</t>
  </si>
  <si>
    <t>NAGA  iyer</t>
  </si>
  <si>
    <t>CL-2024-976</t>
  </si>
  <si>
    <t>oviya singh</t>
  </si>
  <si>
    <t>CL-2023-379</t>
  </si>
  <si>
    <t>PARI NARAYANAN</t>
  </si>
  <si>
    <t>CL-2024-507</t>
  </si>
  <si>
    <t>RAJA  patel</t>
  </si>
  <si>
    <t>CL-2024-808</t>
  </si>
  <si>
    <t>suba  PILLAI</t>
  </si>
  <si>
    <t>CL-2023-756</t>
  </si>
  <si>
    <t xml:space="preserve"> Tamil Pillai </t>
  </si>
  <si>
    <t>CL-2023-169</t>
  </si>
  <si>
    <t>vani narayanan</t>
  </si>
  <si>
    <t>CL-2023-875</t>
  </si>
  <si>
    <t>YAMUNA  raja</t>
  </si>
  <si>
    <t>CL-2023-443</t>
  </si>
  <si>
    <t>ABINAYA RAJA</t>
  </si>
  <si>
    <t>CL-2024-689</t>
  </si>
  <si>
    <t>BOOPATHI MURUGAN</t>
  </si>
  <si>
    <t>CL-2024-874</t>
  </si>
  <si>
    <t xml:space="preserve"> Chelvi Subramanian </t>
  </si>
  <si>
    <t>CL-2023-627</t>
  </si>
  <si>
    <t>DEVA BALAN</t>
  </si>
  <si>
    <t>CL-2024-608</t>
  </si>
  <si>
    <t>elaya  RAJA</t>
  </si>
  <si>
    <t>CL-2024-380</t>
  </si>
  <si>
    <t>guru iyer</t>
  </si>
  <si>
    <t>CL-2023-551</t>
  </si>
  <si>
    <t xml:space="preserve">  HARAN krishnan  </t>
  </si>
  <si>
    <t>CL-2024-434</t>
  </si>
  <si>
    <t>ilavarsi singh</t>
  </si>
  <si>
    <t>CL-2024-642</t>
  </si>
  <si>
    <t>jeeva  MENON</t>
  </si>
  <si>
    <t>CL-2024-572</t>
  </si>
  <si>
    <t xml:space="preserve">  KAVI singh  </t>
  </si>
  <si>
    <t>CL-2024-223</t>
  </si>
  <si>
    <t>aarav  NARAYANAN</t>
  </si>
  <si>
    <t>CL-2024-955</t>
  </si>
  <si>
    <t xml:space="preserve"> Bhavya Devi </t>
  </si>
  <si>
    <t>CL-2023-369</t>
  </si>
  <si>
    <t>chirag  RAJA</t>
  </si>
  <si>
    <t>CL-2024-183</t>
  </si>
  <si>
    <t xml:space="preserve"> Deepa Murugan </t>
  </si>
  <si>
    <t>CL-2024-306</t>
  </si>
  <si>
    <t xml:space="preserve"> Elan Iyer </t>
  </si>
  <si>
    <t>CL-2024-710</t>
  </si>
  <si>
    <t>fatima  CHANDRAN</t>
  </si>
  <si>
    <t>CL-2023-431</t>
  </si>
  <si>
    <t xml:space="preserve"> Ganesh Devi </t>
  </si>
  <si>
    <t>CL-2024-289</t>
  </si>
  <si>
    <t>HEENA SELVAM</t>
  </si>
  <si>
    <t>CL-2024-956</t>
  </si>
  <si>
    <t>ishaan  CHANDRAN</t>
  </si>
  <si>
    <t>CL-2023-402</t>
  </si>
  <si>
    <t xml:space="preserve">  JASMINE mani  </t>
  </si>
  <si>
    <t>CL-2024-210</t>
  </si>
  <si>
    <t xml:space="preserve">  KARTHIK iyer  </t>
  </si>
  <si>
    <t>CL-2023-565</t>
  </si>
  <si>
    <t>lavanya  REDDY</t>
  </si>
  <si>
    <t>CL-2024-977</t>
  </si>
  <si>
    <t xml:space="preserve">  MOHAN balan  </t>
  </si>
  <si>
    <t>CL-2024-143</t>
  </si>
  <si>
    <t>nisha rao</t>
  </si>
  <si>
    <t>CL-2024-071</t>
  </si>
  <si>
    <t>omkar narayanan</t>
  </si>
  <si>
    <t>CL-2023-033</t>
  </si>
  <si>
    <t xml:space="preserve"> Preethi Rajan </t>
  </si>
  <si>
    <t>CL-2024-813</t>
  </si>
  <si>
    <t>QASIM  kumar</t>
  </si>
  <si>
    <t>CL-2023-360</t>
  </si>
  <si>
    <t xml:space="preserve"> Rekha Nair </t>
  </si>
  <si>
    <t>CL-2023-846</t>
  </si>
  <si>
    <t>sanjay  PATEL</t>
  </si>
  <si>
    <t>CL-2024-037</t>
  </si>
  <si>
    <t>tanya chandran</t>
  </si>
  <si>
    <t>CL-2024-698</t>
  </si>
  <si>
    <t xml:space="preserve">  UDAY reddy  </t>
  </si>
  <si>
    <t>CL-2024-144</t>
  </si>
  <si>
    <t>VIMALA  patel</t>
  </si>
  <si>
    <t>CL-2023-957</t>
  </si>
  <si>
    <t>wasim  SELVAM</t>
  </si>
  <si>
    <t>CL-2023-149</t>
  </si>
  <si>
    <t>xena vel</t>
  </si>
  <si>
    <t>CL-2023-240</t>
  </si>
  <si>
    <t xml:space="preserve">  YOGESH kumar  </t>
  </si>
  <si>
    <t>CL-2024-246</t>
  </si>
  <si>
    <t xml:space="preserve"> Zara Devi </t>
  </si>
  <si>
    <t>CL-2023-965</t>
  </si>
  <si>
    <t xml:space="preserve"> Arjun Mani </t>
  </si>
  <si>
    <t>CL-2024-529</t>
  </si>
  <si>
    <t>BHANU  balan</t>
  </si>
  <si>
    <t>CL-2024-838</t>
  </si>
  <si>
    <t>MINI PROJECT — INSTRUCTIONS</t>
  </si>
  <si>
    <t>ABOUT THIS PROJECT</t>
  </si>
  <si>
    <t>You have been given real-looking clinic and pharmacy visit records from MedCare Clinic for the years 2023 and 2024.
Your job is to explore this data, derive meaningful insights, and present your findings — just like a real data analyst would.</t>
  </si>
  <si>
    <t>WHAT YOU ARE GIVEN</t>
  </si>
  <si>
    <t>HOW TO WORK</t>
  </si>
  <si>
    <t>RULES</t>
  </si>
  <si>
    <t>QUESTION SET ASSIGNMENT</t>
  </si>
  <si>
    <t>Each student is assigned one Question Set (A / B / C / D / E).
Check with your trainer which set is yours.
All sets have the same first 3 questions. Questions 4 and 5 are different per set.</t>
  </si>
  <si>
    <t>MEDCARE CLINIC — MINI PROJECT  |  Question Set A</t>
  </si>
  <si>
    <t>Read all questions carefully before starting. Use the Instructions sheet for the step-by-step process.</t>
  </si>
  <si>
    <t>Q1  —  Department-wise Summary</t>
  </si>
  <si>
    <t>The clinic management wants to understand how each department is performing.
Create a summary that shows — for each department:
  • Total number of patients visited
  • Total revenue generated (consultation + medicine combined)
  • Average bill per patient
Which department brings in the most revenue? Which has the most patients?</t>
  </si>
  <si>
    <t>Q2  —  City-wise Patient and Revenue Analysis</t>
  </si>
  <si>
    <t>The management wants to know where most of their patients come from.
For each city in the dataset:
  • How many patients visited from that city?
  • What is the total revenue from that city?
Which city should the clinic focus its outreach on?</t>
  </si>
  <si>
    <t>Q3  —  Year-on-Year Comparison: 2023 vs 2024</t>
  </si>
  <si>
    <t>The clinic wants to see if the business grew from 2023 to 2024.
Compare the two years on:
  • Total number of visits
  • Total revenue
  • Average bill per visit
Did the clinic grow? By how much?</t>
  </si>
  <si>
    <t>Q4  —  Doctor Performance Analysis</t>
  </si>
  <si>
    <t>Each doctor belongs to one department.
Find out for each doctor:
  • How many patients did they see?
  • What is the total revenue from their patients?
Who is the busiest doctor overall? Who generates the highest revenue?</t>
  </si>
  <si>
    <t>Q5  —  Age Group vs Billing Pattern</t>
  </si>
  <si>
    <t>The clinic suspects that older patients tend to have higher bills.
Group patients into: Minor (0–18), Adult (19–40), Middle Age (41–60), Senior (60+)
For each age group, find:
  • Number of patients
  • Average consultation fee
  • Average total bill
Is the clinic's assumption correct?</t>
  </si>
  <si>
    <t>MEDCARE CLINIC — MINI PROJECT  |  Question Set B</t>
  </si>
  <si>
    <t>Q4  —  Diagnosis and Medicine Cost Analysis</t>
  </si>
  <si>
    <t>The pharmacy wants to understand which conditions cost the most to treat.
For each diagnosis in the dataset:
  • How many patients had that diagnosis?
  • What is the total medicine cost across all patients with that diagnosis?
  • What is the average medicine cost per patient?
Which diagnosis is the most common? Which is the most expensive to treat?</t>
  </si>
  <si>
    <t>Q5  —  Gender-wise Billing Across Departments</t>
  </si>
  <si>
    <t>The management wants to check if male and female patients are charged differently.
For each department, find the average consultation fee separately for male and female patients.
Is there a noticeable difference? In which department is the gap largest?</t>
  </si>
  <si>
    <t>MEDCARE CLINIC — MINI PROJECT  |  Question Set C</t>
  </si>
  <si>
    <t>Q4  —  Medicine Revenue Analysis</t>
  </si>
  <si>
    <t>The pharmacy manager wants to know which medicines bring in the most revenue.
For each medicine prescribed:
  • How many times was it prescribed?
  • What is the total medicine cost generated?
Which medicine is prescribed the most? Which generates the highest total revenue?</t>
  </si>
  <si>
    <t>Q5  —  Day of Week Visit Pattern</t>
  </si>
  <si>
    <t>The clinic wants to plan staff scheduling better.
Find out how many patients visited on each day of the week.
(Monday, Tuesday, Wednesday... Sunday)
Which day has the most visits? Which has the least?
Is there a weekend drop-off pattern?</t>
  </si>
  <si>
    <t>MEDCARE CLINIC — MINI PROJECT  |  Question Set D</t>
  </si>
  <si>
    <t>Q4  —  Repeat Patient Detection</t>
  </si>
  <si>
    <t>The clinic wants to identify loyal or recurring patients.
A repeat patient is someone whose name appears more than once in the dataset.
  • How many unique patients visited the clinic?
  • How many visits came from repeat patients?
  • What is the total revenue from repeat patients?
Note: Use the Clean Name column you created for this analysis.</t>
  </si>
  <si>
    <t>Q5  —  Age Group and Department Cross Analysis</t>
  </si>
  <si>
    <t>Which age group visits which department the most?
Create a summary showing — for each combination of Age Group and Department:
  • Number of patients
For example: How many Senior patients visited Cardiology?
How many Minor patients visited Pediatrics?
What pattern do you notice?</t>
  </si>
  <si>
    <t>MEDCARE CLINIC — MINI PROJECT  |  Question Set E</t>
  </si>
  <si>
    <t>Q4  —  City-wise Medicine Cost Analysis</t>
  </si>
  <si>
    <t>The pharmacy wants to understand medicine spending patterns by city.
For each city:
  • What is the total medicine cost?
  • What is the average medicine cost per visit?
Which city has the highest medicine spending per visit?
Does this match the city with the highest total revenue?</t>
  </si>
  <si>
    <t>Q5  —  Doctor Efficiency Analysis</t>
  </si>
  <si>
    <t>The management wants to identify their most efficient doctors.
For each doctor:
  • How many patients did they see?
  • What is their average bill per patient?
Within each department, which doctor has the highest average bill?
Does seeing more patients always mean higher revenue?</t>
  </si>
  <si>
    <t>• Raw Data sheet: 320 patient visit records with 12 columns
• This Instructions sheet
• A Question Set sheet assigned to you (check with your trainer)</t>
  </si>
  <si>
    <t>• Do not use Power Query, Pivot Tables, or VLOOKUP — only formulas  
• Every answer must come from a formula, not manual counting
• Your Summary Report must be written in your own words
• If you look up something new online to solve a problem, note it in your Changelog</t>
  </si>
  <si>
    <t>Male</t>
  </si>
  <si>
    <t>Female</t>
  </si>
  <si>
    <t xml:space="preserve">       SURESH murugan  </t>
  </si>
  <si>
    <t xml:space="preserve">Step 1 — Copy the Raw Data sheet contents into the Working Sheet. Never edit Raw Data directly.
Step 2 — Clean the data and create any new columns you need in the Working Sheet.
Step 3 — Log every change you make in a Changelog sheet.
Step 4 — Write your formulas and findings in a Summary Report sheet.
</t>
  </si>
  <si>
    <t>Column1</t>
  </si>
  <si>
    <t>Column2</t>
  </si>
  <si>
    <t>Column3</t>
  </si>
  <si>
    <t>Column4</t>
  </si>
  <si>
    <t>Column5</t>
  </si>
  <si>
    <t>Column6</t>
  </si>
  <si>
    <t>Column7</t>
  </si>
  <si>
    <t>Column8</t>
  </si>
  <si>
    <t>Column9</t>
  </si>
  <si>
    <t>Column10</t>
  </si>
  <si>
    <t>Column11</t>
  </si>
  <si>
    <t>male</t>
  </si>
  <si>
    <t>female</t>
  </si>
  <si>
    <t>Column12</t>
  </si>
  <si>
    <t>patient name</t>
  </si>
  <si>
    <t>Gender2</t>
  </si>
  <si>
    <t>SL NO</t>
  </si>
  <si>
    <t>Date</t>
  </si>
  <si>
    <t>change made</t>
  </si>
  <si>
    <t>14-07-26</t>
  </si>
  <si>
    <t>convert rawdata in to table</t>
  </si>
  <si>
    <t>name corruption</t>
  </si>
  <si>
    <t>Change gender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</si>
</sst>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m\-yyyy"/>
    <numFmt numFmtId="165" formatCode="\₹#,##0"/>
  </numFmts>
  <fonts count="8" x14ac:knownFonts="1">
    <font>
      <sz val="11"/>
      <color theme="1"/>
      <name val="Calibri"/>
      <family val="2"/>
      <charset val="1"/>
    </font>
    <font>
      <b/>
      <sz val="13"/>
      <color rgb="FFFFFFFF"/>
      <name val="Arial"/>
      <charset val="1"/>
    </font>
    <font>
      <b/>
      <sz val="10"/>
      <color rgb="FFFFFFFF"/>
      <name val="Arial"/>
      <charset val="1"/>
    </font>
    <font>
      <sz val="10"/>
      <color rgb="FF000000"/>
      <name val="Arial"/>
      <charset val="1"/>
    </font>
    <font>
      <sz val="10"/>
      <name val="Arial"/>
      <charset val="1"/>
    </font>
    <font>
      <b/>
      <sz val="10"/>
      <color rgb="FF7B0000"/>
      <name val="Arial"/>
      <charset val="1"/>
    </font>
    <font>
      <b/>
      <sz val="11"/>
      <color rgb="FFFFFFFF"/>
      <name val="Arial"/>
      <charset val="1"/>
    </font>
    <font>
      <sz val="8"/>
      <name val="Calibri"/>
      <family val="2"/>
      <charset val="1"/>
    </font>
  </fonts>
  <fills count="11">
    <fill>
      <patternFill patternType="none"/>
    </fill>
    <fill>
      <patternFill patternType="gray125"/>
    </fill>
    <fill>
      <patternFill patternType="solid">
        <fgColor rgb="FF2F5496"/>
        <bgColor rgb="FF1F3864"/>
      </patternFill>
    </fill>
    <fill>
      <patternFill patternType="solid">
        <fgColor rgb="FFFFFFFF"/>
        <bgColor rgb="FFFFF2CC"/>
      </patternFill>
    </fill>
    <fill>
      <patternFill patternType="solid">
        <fgColor rgb="FFE2EFDA"/>
        <bgColor rgb="FFD6E4F0"/>
      </patternFill>
    </fill>
    <fill>
      <patternFill patternType="solid">
        <fgColor rgb="FF1F3864"/>
        <bgColor rgb="FF2F5496"/>
      </patternFill>
    </fill>
    <fill>
      <patternFill patternType="solid">
        <fgColor rgb="FFFFF2CC"/>
        <bgColor rgb="FFE2EFDA"/>
      </patternFill>
    </fill>
    <fill>
      <patternFill patternType="solid">
        <fgColor rgb="FF375623"/>
        <bgColor rgb="FF333300"/>
      </patternFill>
    </fill>
    <fill>
      <patternFill patternType="solid">
        <fgColor rgb="FF7B0000"/>
        <bgColor rgb="FF800000"/>
      </patternFill>
    </fill>
    <fill>
      <patternFill patternType="solid">
        <fgColor rgb="FF7B3F00"/>
        <bgColor rgb="FF993366"/>
      </patternFill>
    </fill>
    <fill>
      <patternFill patternType="solid">
        <fgColor rgb="FF4B0082"/>
        <bgColor rgb="FF800080"/>
      </patternFill>
    </fill>
  </fills>
  <borders count="11">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s>
  <cellStyleXfs count="1">
    <xf numFmtId="0" fontId="0" fillId="0" borderId="0"/>
  </cellStyleXfs>
  <cellXfs count="40">
    <xf numFmtId="0" fontId="0" fillId="0" borderId="0" xfId="0"/>
    <xf numFmtId="0" fontId="2" fillId="2" borderId="2" xfId="0" applyFont="1" applyFill="1" applyBorder="1" applyAlignment="1">
      <alignment horizontal="center" vertical="center" wrapText="1"/>
    </xf>
    <xf numFmtId="0" fontId="3" fillId="3" borderId="2" xfId="0" applyFont="1" applyFill="1" applyBorder="1" applyAlignment="1">
      <alignment horizontal="center" vertical="center" wrapText="1"/>
    </xf>
    <xf numFmtId="0" fontId="3" fillId="3" borderId="2" xfId="0" applyFont="1" applyFill="1" applyBorder="1" applyAlignment="1">
      <alignment horizontal="left" vertical="center" wrapText="1"/>
    </xf>
    <xf numFmtId="164" fontId="4" fillId="3" borderId="2" xfId="0" applyNumberFormat="1" applyFont="1" applyFill="1" applyBorder="1" applyAlignment="1">
      <alignment horizontal="center" vertical="center"/>
    </xf>
    <xf numFmtId="165" fontId="3" fillId="3" borderId="2" xfId="0" applyNumberFormat="1" applyFont="1" applyFill="1" applyBorder="1" applyAlignment="1">
      <alignment horizontal="center" vertical="center" wrapText="1"/>
    </xf>
    <xf numFmtId="0" fontId="3" fillId="4" borderId="2" xfId="0" applyFont="1" applyFill="1" applyBorder="1" applyAlignment="1">
      <alignment horizontal="center" vertical="center" wrapText="1"/>
    </xf>
    <xf numFmtId="0" fontId="3" fillId="4" borderId="2" xfId="0" applyFont="1" applyFill="1" applyBorder="1" applyAlignment="1">
      <alignment horizontal="left" vertical="center" wrapText="1"/>
    </xf>
    <xf numFmtId="164" fontId="4" fillId="4" borderId="2" xfId="0" applyNumberFormat="1" applyFont="1" applyFill="1" applyBorder="1" applyAlignment="1">
      <alignment horizontal="center" vertical="center"/>
    </xf>
    <xf numFmtId="165" fontId="3" fillId="4" borderId="2" xfId="0" applyNumberFormat="1" applyFont="1" applyFill="1" applyBorder="1" applyAlignment="1">
      <alignment horizontal="center" vertical="center" wrapText="1"/>
    </xf>
    <xf numFmtId="0" fontId="1" fillId="2" borderId="1" xfId="0" applyFont="1" applyFill="1" applyBorder="1" applyAlignment="1">
      <alignment horizontal="center" vertical="center"/>
    </xf>
    <xf numFmtId="0" fontId="5" fillId="6" borderId="1" xfId="0" applyFont="1" applyFill="1" applyBorder="1" applyAlignment="1">
      <alignment horizontal="center" vertical="center" wrapText="1"/>
    </xf>
    <xf numFmtId="0" fontId="6" fillId="2" borderId="1" xfId="0" applyFont="1" applyFill="1" applyBorder="1" applyAlignment="1">
      <alignment horizontal="left" vertical="center"/>
    </xf>
    <xf numFmtId="0" fontId="4" fillId="4" borderId="1" xfId="0" applyFont="1" applyFill="1" applyBorder="1" applyAlignment="1">
      <alignment horizontal="left" vertical="center" wrapText="1"/>
    </xf>
    <xf numFmtId="0" fontId="0" fillId="3" borderId="1" xfId="0" applyFill="1" applyBorder="1"/>
    <xf numFmtId="0" fontId="4" fillId="3" borderId="1" xfId="0" applyFont="1" applyFill="1" applyBorder="1" applyAlignment="1">
      <alignment horizontal="left" vertical="center" wrapText="1"/>
    </xf>
    <xf numFmtId="0" fontId="2" fillId="5" borderId="1" xfId="0" applyFont="1" applyFill="1" applyBorder="1" applyAlignment="1">
      <alignment horizontal="center" vertical="center" wrapText="1"/>
    </xf>
    <xf numFmtId="0" fontId="1" fillId="7" borderId="1" xfId="0" applyFont="1" applyFill="1" applyBorder="1" applyAlignment="1">
      <alignment horizontal="center" vertical="center"/>
    </xf>
    <xf numFmtId="0" fontId="6" fillId="7" borderId="1" xfId="0" applyFont="1" applyFill="1" applyBorder="1" applyAlignment="1">
      <alignment horizontal="left" vertical="center"/>
    </xf>
    <xf numFmtId="0" fontId="1" fillId="8" borderId="1" xfId="0" applyFont="1" applyFill="1" applyBorder="1" applyAlignment="1">
      <alignment horizontal="center" vertical="center"/>
    </xf>
    <xf numFmtId="0" fontId="6" fillId="8" borderId="1" xfId="0" applyFont="1" applyFill="1" applyBorder="1" applyAlignment="1">
      <alignment horizontal="left" vertical="center"/>
    </xf>
    <xf numFmtId="0" fontId="1" fillId="9" borderId="1" xfId="0" applyFont="1" applyFill="1" applyBorder="1" applyAlignment="1">
      <alignment horizontal="center" vertical="center"/>
    </xf>
    <xf numFmtId="0" fontId="6" fillId="9" borderId="1" xfId="0" applyFont="1" applyFill="1" applyBorder="1" applyAlignment="1">
      <alignment horizontal="left" vertical="center"/>
    </xf>
    <xf numFmtId="0" fontId="1" fillId="10" borderId="1" xfId="0" applyFont="1" applyFill="1" applyBorder="1" applyAlignment="1">
      <alignment horizontal="center" vertical="center"/>
    </xf>
    <xf numFmtId="0" fontId="6" fillId="10" borderId="1" xfId="0" applyFont="1" applyFill="1" applyBorder="1" applyAlignment="1">
      <alignment horizontal="left" vertical="center"/>
    </xf>
    <xf numFmtId="0" fontId="2" fillId="2" borderId="3"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4" borderId="3" xfId="0" applyFont="1" applyFill="1" applyBorder="1" applyAlignment="1">
      <alignment horizontal="center" vertical="center" wrapText="1"/>
    </xf>
    <xf numFmtId="0" fontId="1" fillId="2" borderId="4" xfId="0" applyFont="1" applyFill="1" applyBorder="1" applyAlignment="1">
      <alignment horizontal="center" vertical="center"/>
    </xf>
    <xf numFmtId="0" fontId="3" fillId="4" borderId="6" xfId="0" applyFont="1" applyFill="1" applyBorder="1" applyAlignment="1">
      <alignment horizontal="center" vertical="center" wrapText="1"/>
    </xf>
    <xf numFmtId="0" fontId="3" fillId="4" borderId="7" xfId="0" applyFont="1" applyFill="1" applyBorder="1" applyAlignment="1">
      <alignment horizontal="left" vertical="center" wrapText="1"/>
    </xf>
    <xf numFmtId="0" fontId="3" fillId="4" borderId="7" xfId="0" applyFont="1" applyFill="1" applyBorder="1" applyAlignment="1">
      <alignment horizontal="center" vertical="center" wrapText="1"/>
    </xf>
    <xf numFmtId="164" fontId="4" fillId="4" borderId="7" xfId="0" applyNumberFormat="1" applyFont="1" applyFill="1" applyBorder="1" applyAlignment="1">
      <alignment horizontal="center" vertical="center"/>
    </xf>
    <xf numFmtId="165" fontId="3" fillId="4" borderId="7" xfId="0" applyNumberFormat="1" applyFont="1" applyFill="1" applyBorder="1" applyAlignment="1">
      <alignment horizontal="center" vertical="center" wrapText="1"/>
    </xf>
    <xf numFmtId="165" fontId="3" fillId="3" borderId="1" xfId="0" applyNumberFormat="1" applyFont="1" applyFill="1" applyBorder="1" applyAlignment="1">
      <alignment horizontal="center" vertical="center" wrapText="1"/>
    </xf>
    <xf numFmtId="165" fontId="3" fillId="4" borderId="1" xfId="0" applyNumberFormat="1" applyFont="1" applyFill="1" applyBorder="1" applyAlignment="1">
      <alignment horizontal="center" vertical="center" wrapText="1"/>
    </xf>
    <xf numFmtId="0" fontId="2" fillId="2" borderId="9" xfId="0" applyFont="1" applyFill="1" applyBorder="1" applyAlignment="1">
      <alignment horizontal="center" vertical="center" wrapText="1"/>
    </xf>
    <xf numFmtId="0" fontId="2" fillId="2" borderId="10" xfId="0" applyFont="1" applyFill="1" applyBorder="1" applyAlignment="1">
      <alignment horizontal="center" vertical="center" wrapText="1"/>
    </xf>
    <xf numFmtId="0" fontId="2" fillId="2" borderId="5" xfId="0" applyFont="1" applyFill="1" applyBorder="1" applyAlignment="1">
      <alignment horizontal="center" vertical="center" wrapText="1"/>
    </xf>
    <xf numFmtId="165" fontId="3" fillId="4" borderId="8" xfId="0" applyNumberFormat="1" applyFont="1" applyFill="1" applyBorder="1" applyAlignment="1">
      <alignment horizontal="center" vertical="center" wrapText="1"/>
    </xf>
  </cellXfs>
  <cellStyles count="1">
    <cellStyle name="Normal" xfId="0" builtinId="0"/>
  </cellStyles>
  <dxfs count="37">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0" formatCode="General"/>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i val="0"/>
        <strike val="0"/>
        <condense val="0"/>
        <extend val="0"/>
        <outline val="0"/>
        <shadow val="0"/>
        <u val="none"/>
        <vertAlign val="baseline"/>
        <sz val="10"/>
        <color rgb="FFFFFFFF"/>
        <name val="Arial"/>
        <charset val="1"/>
        <scheme val="none"/>
      </font>
      <fill>
        <patternFill patternType="solid">
          <fgColor rgb="FF1F3864"/>
          <bgColor rgb="FF2F5496"/>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dxf>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164" formatCode="dd\-mmm\-yyyy"/>
      <fill>
        <patternFill patternType="solid">
          <fgColor rgb="FFD6E4F0"/>
          <bgColor rgb="FFE2EFDA"/>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right style="thin">
          <color rgb="FFBFBFBF"/>
        </right>
        <top style="thin">
          <color rgb="FFBFBFBF"/>
        </top>
        <bottom style="thin">
          <color rgb="FFBFBFBF"/>
        </bottom>
        <vertical/>
        <horizontal/>
      </border>
    </dxf>
    <dxf>
      <border outline="0">
        <top style="thin">
          <color rgb="FFBFBFBF"/>
        </top>
      </border>
    </dxf>
    <dxf>
      <border outline="0">
        <bottom style="thin">
          <color rgb="FFBFBFBF"/>
        </bottom>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i val="0"/>
        <strike val="0"/>
        <condense val="0"/>
        <extend val="0"/>
        <outline val="0"/>
        <shadow val="0"/>
        <u val="none"/>
        <vertAlign val="baseline"/>
        <sz val="13"/>
        <color rgb="FFFFFFFF"/>
        <name val="Arial"/>
        <charset val="1"/>
        <scheme val="none"/>
      </font>
      <fill>
        <patternFill patternType="solid">
          <fgColor rgb="FF1F3864"/>
          <bgColor rgb="FF2F5496"/>
        </patternFill>
      </fill>
      <alignment horizontal="center" vertical="center" textRotation="0" wrapText="0" indent="0" justifyLastLine="0" shrinkToFit="0" readingOrder="0"/>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dxf>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numFmt numFmtId="165" formatCode="\₹#,##0"/>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164" formatCode="dd\-mmm\-yyyy"/>
      <fill>
        <patternFill patternType="solid">
          <fgColor rgb="FFD6E4F0"/>
          <bgColor rgb="FFE2EFDA"/>
        </patternFill>
      </fil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left"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rgb="FF000000"/>
        <name val="Arial"/>
        <charset val="1"/>
        <scheme val="none"/>
      </font>
      <fill>
        <patternFill patternType="solid">
          <fgColor rgb="FFD6E4F0"/>
          <bgColor rgb="FFE2EFDA"/>
        </patternFill>
      </fill>
      <alignment horizontal="center" vertical="center" textRotation="0" wrapText="1" indent="0" justifyLastLine="0" shrinkToFit="0" readingOrder="0"/>
      <border diagonalUp="0" diagonalDown="0">
        <left/>
        <right style="thin">
          <color rgb="FFBFBFBF"/>
        </right>
        <top style="thin">
          <color rgb="FFBFBFBF"/>
        </top>
        <bottom style="thin">
          <color rgb="FFBFBFBF"/>
        </bottom>
        <vertical/>
        <horizontal/>
      </border>
    </dxf>
    <dxf>
      <border outline="0">
        <top style="thin">
          <color rgb="FFBFBFBF"/>
        </top>
      </border>
    </dxf>
    <dxf>
      <border outline="0">
        <bottom style="thin">
          <color rgb="FFBFBFBF"/>
        </bottom>
      </border>
    </dxf>
    <dxf>
      <border outline="0">
        <left style="thin">
          <color rgb="FFBFBFBF"/>
        </left>
        <top style="thin">
          <color rgb="FFBFBFBF"/>
        </top>
        <bottom style="thin">
          <color rgb="FFBFBFBF"/>
        </bottom>
      </border>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7B0000"/>
      <rgbColor rgb="FF008000"/>
      <rgbColor rgb="FF000080"/>
      <rgbColor rgb="FF808000"/>
      <rgbColor rgb="FF800080"/>
      <rgbColor rgb="FF008080"/>
      <rgbColor rgb="FFBFBFBF"/>
      <rgbColor rgb="FF7B7B7B"/>
      <rgbColor rgb="FF9999FF"/>
      <rgbColor rgb="FF993366"/>
      <rgbColor rgb="FFFFF2CC"/>
      <rgbColor rgb="FFCCFFFF"/>
      <rgbColor rgb="FF4B0082"/>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4B942"/>
      <rgbColor rgb="FFFF9900"/>
      <rgbColor rgb="FFFF6600"/>
      <rgbColor rgb="FF666699"/>
      <rgbColor rgb="FF969696"/>
      <rgbColor rgb="FF1F3864"/>
      <rgbColor rgb="FF339966"/>
      <rgbColor rgb="FF003300"/>
      <rgbColor rgb="FF333300"/>
      <rgbColor rgb="FF7B3F00"/>
      <rgbColor rgb="FF993366"/>
      <rgbColor rgb="FF2F5496"/>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2DB92CF-D6FD-4D4B-8E02-8C0E232351E1}" name="Table4" displayName="Table4" ref="A2:N322" totalsRowShown="0" headerRowDxfId="2" dataDxfId="3" headerRowBorderDxfId="17" tableBorderDxfId="18" totalsRowBorderDxfId="16">
  <autoFilter ref="A2:N322" xr:uid="{D2DB92CF-D6FD-4D4B-8E02-8C0E232351E1}"/>
  <tableColumns count="14">
    <tableColumn id="1" xr3:uid="{FE9029FB-5D22-4881-B890-78AC9112B46E}" name="Column1" dataDxfId="15"/>
    <tableColumn id="2" xr3:uid="{C554F1EA-F298-4AF0-AADC-5A986E723D86}" name="Patient Name" dataDxfId="14"/>
    <tableColumn id="13" xr3:uid="{D5F7300A-8423-4163-8CAF-AA4F83E5B7C7}" name="Column2" dataDxfId="1">
      <calculatedColumnFormula>PROPER(TRIM(Table4[[#This Row],[Patient Name]]))</calculatedColumnFormula>
    </tableColumn>
    <tableColumn id="3" xr3:uid="{332371BE-5E68-4562-978B-490CAA19F0CF}" name="Age" dataDxfId="13"/>
    <tableColumn id="4" xr3:uid="{109E8C58-5E9E-49C0-8FF6-A1763ECA3194}" name="Gender" dataDxfId="12"/>
    <tableColumn id="14" xr3:uid="{47DA1912-493C-4D0C-AD52-433DA8A606FC}" name="Gender2" dataDxfId="0"/>
    <tableColumn id="5" xr3:uid="{61F0DDBD-50A5-43A9-B1F5-A89EA3419DEC}" name="City" dataDxfId="11"/>
    <tableColumn id="6" xr3:uid="{1EB4F5CF-0F30-4EEA-A390-90E9F046FDE8}" name="Visit Date" dataDxfId="10"/>
    <tableColumn id="7" xr3:uid="{9549E8BF-83B1-4563-9A72-F87822B444CB}" name="Department" dataDxfId="9"/>
    <tableColumn id="8" xr3:uid="{F814A5D4-4BD6-46C3-9FAC-4B18D63ECB1E}" name="Doctor" dataDxfId="8"/>
    <tableColumn id="9" xr3:uid="{088C056C-80FC-4C8C-91D6-DAF7490D9FAC}" name="Diagnosis" dataDxfId="7"/>
    <tableColumn id="10" xr3:uid="{D8C67615-0F28-4EEB-A811-F03A193BA2A4}" name="Medicine Prescribed" dataDxfId="6"/>
    <tableColumn id="11" xr3:uid="{87E109DF-50D8-4FD0-800E-86E348721AF5}" name="Consultation Fee (₹)" dataDxfId="5"/>
    <tableColumn id="12" xr3:uid="{2F90A08F-E948-4876-8B08-3348AE86D6DC}" name="Medicine Cost (₹)" dataDxfId="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457F21-0511-4FEB-9AA7-683C68992BD6}" name="Table3" displayName="Table3" ref="A1:M322" totalsRowShown="0" headerRowDxfId="20" dataDxfId="21" headerRowBorderDxfId="35" tableBorderDxfId="36" totalsRowBorderDxfId="34">
  <autoFilter ref="A1:M322" xr:uid="{80457F21-0511-4FEB-9AA7-683C68992BD6}"/>
  <tableColumns count="13">
    <tableColumn id="1" xr3:uid="{491C4580-2976-4E26-9282-CC8C6B3F97F3}" name="MEDCARE CLINIC &amp; PHARMACY — PATIENT VISIT RECORDS 2023–2024" dataDxfId="33"/>
    <tableColumn id="2" xr3:uid="{1F42C59E-CD82-48F9-9607-BA0DFBF9134B}" name="Column1" dataDxfId="32"/>
    <tableColumn id="13" xr3:uid="{1DF3ACC7-15DE-441E-BE60-C8951A1B6A86}" name="Column12" dataDxfId="19"/>
    <tableColumn id="3" xr3:uid="{5C172BE2-F6C9-4FEE-83D3-B17E79C403C2}" name="Column2" dataDxfId="31"/>
    <tableColumn id="4" xr3:uid="{798363BD-7ADD-4D16-8C07-1EDE80135D06}" name="Column3" dataDxfId="30"/>
    <tableColumn id="5" xr3:uid="{A6C8660D-5558-47E8-BEE4-EFBAE5463E65}" name="Column4" dataDxfId="29"/>
    <tableColumn id="6" xr3:uid="{1D2C496C-3301-4496-A9D0-60AE6710A2FA}" name="Column5" dataDxfId="28"/>
    <tableColumn id="7" xr3:uid="{9DE6A967-AA2B-4B6F-B7F4-53B81B940C4D}" name="Column6" dataDxfId="27"/>
    <tableColumn id="8" xr3:uid="{4E76F456-2866-474E-A747-FF2FE2A4227C}" name="Column7" dataDxfId="26"/>
    <tableColumn id="9" xr3:uid="{B3C8B749-C58E-452F-B9C2-86F357D3B0F6}" name="Column8" dataDxfId="25"/>
    <tableColumn id="10" xr3:uid="{50FF9E49-2CA0-40D1-A98B-92063BC26A1E}" name="Column9" dataDxfId="24"/>
    <tableColumn id="11" xr3:uid="{02850530-DD54-4ED0-863D-C3A97CC2AB47}" name="Column10" dataDxfId="23"/>
    <tableColumn id="12" xr3:uid="{846ABC69-882D-4566-B08C-D8A254A24C92}" name="Column11" dataDxfId="2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88C0A-E7FF-4CA1-8BEB-578C291288D3}">
  <dimension ref="A1:N322"/>
  <sheetViews>
    <sheetView zoomScale="85" zoomScaleNormal="85" workbookViewId="0">
      <pane ySplit="2" topLeftCell="A8" activePane="bottomLeft" state="frozen"/>
      <selection pane="bottomLeft" activeCell="E8" sqref="E8"/>
    </sheetView>
  </sheetViews>
  <sheetFormatPr defaultColWidth="8.6328125" defaultRowHeight="14.5" x14ac:dyDescent="0.35"/>
  <cols>
    <col min="1" max="1" width="16" customWidth="1"/>
    <col min="2" max="3" width="24" customWidth="1"/>
    <col min="4" max="4" width="7" customWidth="1"/>
    <col min="5" max="5" width="10.36328125" customWidth="1"/>
    <col min="6" max="8" width="14" customWidth="1"/>
    <col min="9" max="9" width="18" customWidth="1"/>
    <col min="10" max="10" width="22" customWidth="1"/>
    <col min="11" max="11" width="18" customWidth="1"/>
    <col min="12" max="12" width="22" customWidth="1"/>
    <col min="13" max="13" width="19.90625" customWidth="1"/>
    <col min="14" max="14" width="17.453125" customWidth="1"/>
  </cols>
  <sheetData>
    <row r="1" spans="1:14" ht="30" customHeight="1" x14ac:dyDescent="0.35">
      <c r="A1" s="10" t="s">
        <v>0</v>
      </c>
      <c r="B1" s="10"/>
      <c r="C1" s="10"/>
      <c r="D1" s="10"/>
      <c r="E1" s="10"/>
      <c r="F1" s="10"/>
      <c r="G1" s="10"/>
      <c r="H1" s="10"/>
      <c r="I1" s="10"/>
      <c r="J1" s="10"/>
      <c r="K1" s="10"/>
      <c r="L1" s="10"/>
      <c r="M1" s="10"/>
      <c r="N1" s="10"/>
    </row>
    <row r="2" spans="1:14" ht="21.75" customHeight="1" x14ac:dyDescent="0.35">
      <c r="A2" s="36" t="s">
        <v>776</v>
      </c>
      <c r="B2" s="37" t="s">
        <v>2</v>
      </c>
      <c r="C2" s="37" t="s">
        <v>777</v>
      </c>
      <c r="D2" s="37" t="s">
        <v>3</v>
      </c>
      <c r="E2" s="37" t="s">
        <v>4</v>
      </c>
      <c r="F2" s="37" t="s">
        <v>791</v>
      </c>
      <c r="G2" s="37" t="s">
        <v>5</v>
      </c>
      <c r="H2" s="37" t="s">
        <v>6</v>
      </c>
      <c r="I2" s="37" t="s">
        <v>7</v>
      </c>
      <c r="J2" s="37" t="s">
        <v>8</v>
      </c>
      <c r="K2" s="37" t="s">
        <v>9</v>
      </c>
      <c r="L2" s="37" t="s">
        <v>10</v>
      </c>
      <c r="M2" s="37" t="s">
        <v>11</v>
      </c>
      <c r="N2" s="38" t="s">
        <v>12</v>
      </c>
    </row>
    <row r="3" spans="1:14" ht="18" customHeight="1" x14ac:dyDescent="0.35">
      <c r="A3" s="26" t="s">
        <v>13</v>
      </c>
      <c r="B3" s="3" t="s">
        <v>14</v>
      </c>
      <c r="C3" s="3" t="str">
        <f>PROPER(TRIM(Table4[[#This Row],[Patient Name]]))</f>
        <v>Aarav Murugan</v>
      </c>
      <c r="D3" s="2">
        <v>56</v>
      </c>
      <c r="E3" s="2" t="s">
        <v>773</v>
      </c>
      <c r="F3" s="2"/>
      <c r="G3" s="3" t="s">
        <v>16</v>
      </c>
      <c r="H3" s="4">
        <v>45567</v>
      </c>
      <c r="I3" s="3" t="s">
        <v>17</v>
      </c>
      <c r="J3" s="3" t="s">
        <v>18</v>
      </c>
      <c r="K3" s="3" t="s">
        <v>19</v>
      </c>
      <c r="L3" s="3" t="s">
        <v>20</v>
      </c>
      <c r="M3" s="5">
        <v>800</v>
      </c>
      <c r="N3" s="34">
        <v>870</v>
      </c>
    </row>
    <row r="4" spans="1:14" ht="18" customHeight="1" x14ac:dyDescent="0.35">
      <c r="A4" s="27" t="s">
        <v>21</v>
      </c>
      <c r="B4" s="7" t="s">
        <v>22</v>
      </c>
      <c r="C4" s="7" t="str">
        <f>PROPER(TRIM(Table4[[#This Row],[Patient Name]]))</f>
        <v>Bhavya Murugan</v>
      </c>
      <c r="D4" s="6">
        <v>11</v>
      </c>
      <c r="E4" s="6" t="s">
        <v>773</v>
      </c>
      <c r="F4" s="6"/>
      <c r="G4" s="7" t="s">
        <v>16</v>
      </c>
      <c r="H4" s="8">
        <v>45386</v>
      </c>
      <c r="I4" s="7" t="s">
        <v>17</v>
      </c>
      <c r="J4" s="7" t="s">
        <v>23</v>
      </c>
      <c r="K4" s="7" t="s">
        <v>19</v>
      </c>
      <c r="L4" s="7" t="s">
        <v>24</v>
      </c>
      <c r="M4" s="9">
        <v>750</v>
      </c>
      <c r="N4" s="35">
        <v>870</v>
      </c>
    </row>
    <row r="5" spans="1:14" ht="18" customHeight="1" x14ac:dyDescent="0.35">
      <c r="A5" s="26" t="s">
        <v>25</v>
      </c>
      <c r="B5" s="3" t="s">
        <v>26</v>
      </c>
      <c r="C5" s="3" t="str">
        <f>PROPER(TRIM(Table4[[#This Row],[Patient Name]]))</f>
        <v>Chirag Menon</v>
      </c>
      <c r="D5" s="2">
        <v>26</v>
      </c>
      <c r="E5" s="2" t="s">
        <v>773</v>
      </c>
      <c r="F5" s="2"/>
      <c r="G5" s="3" t="s">
        <v>27</v>
      </c>
      <c r="H5" s="4">
        <v>45538</v>
      </c>
      <c r="I5" s="3" t="s">
        <v>28</v>
      </c>
      <c r="J5" s="3" t="s">
        <v>29</v>
      </c>
      <c r="K5" s="3" t="s">
        <v>30</v>
      </c>
      <c r="L5" s="3" t="s">
        <v>31</v>
      </c>
      <c r="M5" s="5">
        <v>500</v>
      </c>
      <c r="N5" s="34">
        <v>220</v>
      </c>
    </row>
    <row r="6" spans="1:14" ht="18" customHeight="1" x14ac:dyDescent="0.35">
      <c r="A6" s="27" t="s">
        <v>32</v>
      </c>
      <c r="B6" s="7" t="s">
        <v>33</v>
      </c>
      <c r="C6" s="7" t="str">
        <f>PROPER(TRIM(Table4[[#This Row],[Patient Name]]))</f>
        <v>Deepa Pandian</v>
      </c>
      <c r="D6" s="6">
        <v>52</v>
      </c>
      <c r="E6" s="6" t="s">
        <v>772</v>
      </c>
      <c r="F6" s="6"/>
      <c r="G6" s="7" t="s">
        <v>35</v>
      </c>
      <c r="H6" s="8">
        <v>45268</v>
      </c>
      <c r="I6" s="7" t="s">
        <v>36</v>
      </c>
      <c r="J6" s="7" t="s">
        <v>37</v>
      </c>
      <c r="K6" s="7" t="s">
        <v>38</v>
      </c>
      <c r="L6" s="7" t="s">
        <v>39</v>
      </c>
      <c r="M6" s="9">
        <v>1000</v>
      </c>
      <c r="N6" s="35">
        <v>230</v>
      </c>
    </row>
    <row r="7" spans="1:14" ht="18" customHeight="1" x14ac:dyDescent="0.35">
      <c r="A7" s="26" t="s">
        <v>40</v>
      </c>
      <c r="B7" s="3" t="s">
        <v>41</v>
      </c>
      <c r="C7" s="3" t="str">
        <f>PROPER(TRIM(Table4[[#This Row],[Patient Name]]))</f>
        <v>Elan Iyer</v>
      </c>
      <c r="D7" s="2">
        <v>59</v>
      </c>
      <c r="E7" s="2" t="s">
        <v>772</v>
      </c>
      <c r="F7" s="2"/>
      <c r="G7" s="3" t="s">
        <v>35</v>
      </c>
      <c r="H7" s="4">
        <v>45630</v>
      </c>
      <c r="I7" s="3" t="s">
        <v>42</v>
      </c>
      <c r="J7" s="3" t="s">
        <v>43</v>
      </c>
      <c r="K7" s="3" t="s">
        <v>44</v>
      </c>
      <c r="L7" s="3" t="s">
        <v>45</v>
      </c>
      <c r="M7" s="5">
        <v>300</v>
      </c>
      <c r="N7" s="34">
        <v>220</v>
      </c>
    </row>
    <row r="8" spans="1:14" ht="18" customHeight="1" x14ac:dyDescent="0.35">
      <c r="A8" s="27" t="s">
        <v>46</v>
      </c>
      <c r="B8" s="7" t="s">
        <v>47</v>
      </c>
      <c r="C8" s="7" t="str">
        <f>PROPER(TRIM(Table4[[#This Row],[Patient Name]]))</f>
        <v>Fatima Rao</v>
      </c>
      <c r="D8" s="6">
        <v>34</v>
      </c>
      <c r="E8" s="6" t="s">
        <v>773</v>
      </c>
      <c r="F8" s="6"/>
      <c r="G8" s="7" t="s">
        <v>27</v>
      </c>
      <c r="H8" s="8">
        <v>45227</v>
      </c>
      <c r="I8" s="7" t="s">
        <v>48</v>
      </c>
      <c r="J8" s="7" t="s">
        <v>49</v>
      </c>
      <c r="K8" s="7" t="s">
        <v>50</v>
      </c>
      <c r="L8" s="7" t="s">
        <v>51</v>
      </c>
      <c r="M8" s="9">
        <v>700</v>
      </c>
      <c r="N8" s="35">
        <v>280</v>
      </c>
    </row>
    <row r="9" spans="1:14" ht="18" customHeight="1" x14ac:dyDescent="0.35">
      <c r="A9" s="26" t="s">
        <v>52</v>
      </c>
      <c r="B9" s="3" t="s">
        <v>53</v>
      </c>
      <c r="C9" s="3" t="str">
        <f>PROPER(TRIM(Table4[[#This Row],[Patient Name]]))</f>
        <v>Ganesh Rao</v>
      </c>
      <c r="D9" s="2">
        <v>54</v>
      </c>
      <c r="E9" s="2" t="s">
        <v>772</v>
      </c>
      <c r="F9" s="2"/>
      <c r="G9" s="3" t="s">
        <v>35</v>
      </c>
      <c r="H9" s="4">
        <v>44990</v>
      </c>
      <c r="I9" s="3" t="s">
        <v>48</v>
      </c>
      <c r="J9" s="3" t="s">
        <v>54</v>
      </c>
      <c r="K9" s="3" t="s">
        <v>55</v>
      </c>
      <c r="L9" s="3" t="s">
        <v>56</v>
      </c>
      <c r="M9" s="5">
        <v>650</v>
      </c>
      <c r="N9" s="34">
        <v>210</v>
      </c>
    </row>
    <row r="10" spans="1:14" ht="18" customHeight="1" x14ac:dyDescent="0.35">
      <c r="A10" s="27" t="s">
        <v>57</v>
      </c>
      <c r="B10" s="7" t="s">
        <v>58</v>
      </c>
      <c r="C10" s="7" t="str">
        <f>PROPER(TRIM(Table4[[#This Row],[Patient Name]]))</f>
        <v>Heena Pillai</v>
      </c>
      <c r="D10" s="6">
        <v>9</v>
      </c>
      <c r="E10" s="6" t="s">
        <v>773</v>
      </c>
      <c r="F10" s="6"/>
      <c r="G10" s="7" t="s">
        <v>16</v>
      </c>
      <c r="H10" s="8">
        <v>45607</v>
      </c>
      <c r="I10" s="7" t="s">
        <v>28</v>
      </c>
      <c r="J10" s="7" t="s">
        <v>59</v>
      </c>
      <c r="K10" s="7" t="s">
        <v>60</v>
      </c>
      <c r="L10" s="7" t="s">
        <v>61</v>
      </c>
      <c r="M10" s="9">
        <v>600</v>
      </c>
      <c r="N10" s="35">
        <v>290</v>
      </c>
    </row>
    <row r="11" spans="1:14" ht="18" customHeight="1" x14ac:dyDescent="0.35">
      <c r="A11" s="26" t="s">
        <v>62</v>
      </c>
      <c r="B11" s="3" t="s">
        <v>63</v>
      </c>
      <c r="C11" s="3" t="str">
        <f>PROPER(TRIM(Table4[[#This Row],[Patient Name]]))</f>
        <v>Ishaan Reddy</v>
      </c>
      <c r="D11" s="2">
        <v>23</v>
      </c>
      <c r="E11" s="2" t="s">
        <v>772</v>
      </c>
      <c r="F11" s="2"/>
      <c r="G11" s="3" t="s">
        <v>27</v>
      </c>
      <c r="H11" s="4">
        <v>45070</v>
      </c>
      <c r="I11" s="3" t="s">
        <v>17</v>
      </c>
      <c r="J11" s="3" t="s">
        <v>64</v>
      </c>
      <c r="K11" s="3" t="s">
        <v>65</v>
      </c>
      <c r="L11" s="3" t="s">
        <v>66</v>
      </c>
      <c r="M11" s="5">
        <v>950</v>
      </c>
      <c r="N11" s="34">
        <v>720</v>
      </c>
    </row>
    <row r="12" spans="1:14" ht="18" customHeight="1" x14ac:dyDescent="0.35">
      <c r="A12" s="27" t="s">
        <v>67</v>
      </c>
      <c r="B12" s="7" t="s">
        <v>68</v>
      </c>
      <c r="C12" s="7" t="str">
        <f>PROPER(TRIM(Table4[[#This Row],[Patient Name]]))</f>
        <v>Jasmine Singh</v>
      </c>
      <c r="D12" s="6">
        <v>37</v>
      </c>
      <c r="E12" s="6" t="s">
        <v>772</v>
      </c>
      <c r="F12" s="6"/>
      <c r="G12" s="7" t="s">
        <v>69</v>
      </c>
      <c r="H12" s="8">
        <v>45336</v>
      </c>
      <c r="I12" s="7" t="s">
        <v>42</v>
      </c>
      <c r="J12" s="7" t="s">
        <v>70</v>
      </c>
      <c r="K12" s="7" t="s">
        <v>71</v>
      </c>
      <c r="L12" s="7" t="s">
        <v>72</v>
      </c>
      <c r="M12" s="9">
        <v>350</v>
      </c>
      <c r="N12" s="35">
        <v>190</v>
      </c>
    </row>
    <row r="13" spans="1:14" ht="18" customHeight="1" x14ac:dyDescent="0.35">
      <c r="A13" s="26" t="s">
        <v>73</v>
      </c>
      <c r="B13" s="3" t="s">
        <v>74</v>
      </c>
      <c r="C13" s="3" t="str">
        <f>PROPER(TRIM(Table4[[#This Row],[Patient Name]]))</f>
        <v>Karthik Vel</v>
      </c>
      <c r="D13" s="2">
        <v>27</v>
      </c>
      <c r="E13" s="2" t="s">
        <v>773</v>
      </c>
      <c r="F13" s="2"/>
      <c r="G13" s="3" t="s">
        <v>16</v>
      </c>
      <c r="H13" s="4">
        <v>45598</v>
      </c>
      <c r="I13" s="3" t="s">
        <v>36</v>
      </c>
      <c r="J13" s="3" t="s">
        <v>75</v>
      </c>
      <c r="K13" s="3" t="s">
        <v>76</v>
      </c>
      <c r="L13" s="3" t="s">
        <v>77</v>
      </c>
      <c r="M13" s="5">
        <v>900</v>
      </c>
      <c r="N13" s="34">
        <v>320</v>
      </c>
    </row>
    <row r="14" spans="1:14" ht="18" customHeight="1" x14ac:dyDescent="0.35">
      <c r="A14" s="27" t="s">
        <v>78</v>
      </c>
      <c r="B14" s="7" t="s">
        <v>79</v>
      </c>
      <c r="C14" s="7" t="str">
        <f>PROPER(TRIM(Table4[[#This Row],[Patient Name]]))</f>
        <v>Lavanya Murugan</v>
      </c>
      <c r="D14" s="6">
        <v>15</v>
      </c>
      <c r="E14" s="6" t="s">
        <v>773</v>
      </c>
      <c r="F14" s="6"/>
      <c r="G14" s="7" t="s">
        <v>80</v>
      </c>
      <c r="H14" s="8">
        <v>45040</v>
      </c>
      <c r="I14" s="7" t="s">
        <v>36</v>
      </c>
      <c r="J14" s="7" t="s">
        <v>81</v>
      </c>
      <c r="K14" s="7" t="s">
        <v>76</v>
      </c>
      <c r="L14" s="7" t="s">
        <v>82</v>
      </c>
      <c r="M14" s="9">
        <v>900</v>
      </c>
      <c r="N14" s="35">
        <v>300</v>
      </c>
    </row>
    <row r="15" spans="1:14" ht="18" customHeight="1" x14ac:dyDescent="0.35">
      <c r="A15" s="26" t="s">
        <v>83</v>
      </c>
      <c r="B15" s="3" t="s">
        <v>84</v>
      </c>
      <c r="C15" s="3" t="str">
        <f>PROPER(TRIM(Table4[[#This Row],[Patient Name]]))</f>
        <v>Mohan Rajan</v>
      </c>
      <c r="D15" s="2">
        <v>64</v>
      </c>
      <c r="E15" s="2" t="s">
        <v>772</v>
      </c>
      <c r="F15" s="2"/>
      <c r="G15" s="3" t="s">
        <v>16</v>
      </c>
      <c r="H15" s="4">
        <v>45605</v>
      </c>
      <c r="I15" s="3" t="s">
        <v>42</v>
      </c>
      <c r="J15" s="3" t="s">
        <v>43</v>
      </c>
      <c r="K15" s="3" t="s">
        <v>85</v>
      </c>
      <c r="L15" s="3" t="s">
        <v>86</v>
      </c>
      <c r="M15" s="5">
        <v>450</v>
      </c>
      <c r="N15" s="34">
        <v>380</v>
      </c>
    </row>
    <row r="16" spans="1:14" ht="18" customHeight="1" x14ac:dyDescent="0.35">
      <c r="A16" s="27" t="s">
        <v>87</v>
      </c>
      <c r="B16" s="7" t="s">
        <v>88</v>
      </c>
      <c r="C16" s="7" t="str">
        <f>PROPER(TRIM(Table4[[#This Row],[Patient Name]]))</f>
        <v>Nisha Mani</v>
      </c>
      <c r="D16" s="6">
        <v>33</v>
      </c>
      <c r="E16" s="6" t="s">
        <v>773</v>
      </c>
      <c r="F16" s="6"/>
      <c r="G16" s="7" t="s">
        <v>35</v>
      </c>
      <c r="H16" s="8">
        <v>45172</v>
      </c>
      <c r="I16" s="7" t="s">
        <v>42</v>
      </c>
      <c r="J16" s="7" t="s">
        <v>89</v>
      </c>
      <c r="K16" s="7" t="s">
        <v>71</v>
      </c>
      <c r="L16" s="7" t="s">
        <v>90</v>
      </c>
      <c r="M16" s="9">
        <v>400</v>
      </c>
      <c r="N16" s="35">
        <v>350</v>
      </c>
    </row>
    <row r="17" spans="1:14" ht="18" customHeight="1" x14ac:dyDescent="0.35">
      <c r="A17" s="26" t="s">
        <v>91</v>
      </c>
      <c r="B17" s="3" t="s">
        <v>92</v>
      </c>
      <c r="C17" s="3" t="str">
        <f>PROPER(TRIM(Table4[[#This Row],[Patient Name]]))</f>
        <v>Omkar Raja</v>
      </c>
      <c r="D17" s="2">
        <v>7</v>
      </c>
      <c r="E17" s="2" t="s">
        <v>772</v>
      </c>
      <c r="F17" s="2"/>
      <c r="G17" s="3" t="s">
        <v>35</v>
      </c>
      <c r="H17" s="4">
        <v>45084</v>
      </c>
      <c r="I17" s="3" t="s">
        <v>48</v>
      </c>
      <c r="J17" s="3" t="s">
        <v>93</v>
      </c>
      <c r="K17" s="3" t="s">
        <v>94</v>
      </c>
      <c r="L17" s="3" t="s">
        <v>95</v>
      </c>
      <c r="M17" s="5">
        <v>650</v>
      </c>
      <c r="N17" s="34">
        <v>490</v>
      </c>
    </row>
    <row r="18" spans="1:14" ht="18" customHeight="1" x14ac:dyDescent="0.35">
      <c r="A18" s="27" t="s">
        <v>96</v>
      </c>
      <c r="B18" s="7" t="s">
        <v>97</v>
      </c>
      <c r="C18" s="7" t="str">
        <f>PROPER(TRIM(Table4[[#This Row],[Patient Name]]))</f>
        <v>Preethi Balan</v>
      </c>
      <c r="D18" s="6">
        <v>41</v>
      </c>
      <c r="E18" s="6" t="s">
        <v>772</v>
      </c>
      <c r="F18" s="6"/>
      <c r="G18" s="7" t="s">
        <v>27</v>
      </c>
      <c r="H18" s="8">
        <v>44963</v>
      </c>
      <c r="I18" s="7" t="s">
        <v>17</v>
      </c>
      <c r="J18" s="7" t="s">
        <v>18</v>
      </c>
      <c r="K18" s="7" t="s">
        <v>19</v>
      </c>
      <c r="L18" s="7" t="s">
        <v>20</v>
      </c>
      <c r="M18" s="9">
        <v>850</v>
      </c>
      <c r="N18" s="35">
        <v>500</v>
      </c>
    </row>
    <row r="19" spans="1:14" ht="18" customHeight="1" x14ac:dyDescent="0.35">
      <c r="A19" s="26" t="s">
        <v>98</v>
      </c>
      <c r="B19" s="3" t="s">
        <v>99</v>
      </c>
      <c r="C19" s="3" t="str">
        <f>PROPER(TRIM(Table4[[#This Row],[Patient Name]]))</f>
        <v>Qasim Reddy</v>
      </c>
      <c r="D19" s="2">
        <v>49</v>
      </c>
      <c r="E19" s="2" t="s">
        <v>772</v>
      </c>
      <c r="F19" s="2"/>
      <c r="G19" s="3" t="s">
        <v>16</v>
      </c>
      <c r="H19" s="4">
        <v>45349</v>
      </c>
      <c r="I19" s="3" t="s">
        <v>48</v>
      </c>
      <c r="J19" s="3" t="s">
        <v>49</v>
      </c>
      <c r="K19" s="3" t="s">
        <v>94</v>
      </c>
      <c r="L19" s="3" t="s">
        <v>56</v>
      </c>
      <c r="M19" s="5">
        <v>700</v>
      </c>
      <c r="N19" s="34">
        <v>280</v>
      </c>
    </row>
    <row r="20" spans="1:14" ht="18" customHeight="1" x14ac:dyDescent="0.35">
      <c r="A20" s="27" t="s">
        <v>100</v>
      </c>
      <c r="B20" s="7" t="s">
        <v>101</v>
      </c>
      <c r="C20" s="7" t="str">
        <f>PROPER(TRIM(Table4[[#This Row],[Patient Name]]))</f>
        <v>Rekha Pandian</v>
      </c>
      <c r="D20" s="6">
        <v>6</v>
      </c>
      <c r="E20" s="6" t="s">
        <v>772</v>
      </c>
      <c r="F20" s="6"/>
      <c r="G20" s="7" t="s">
        <v>16</v>
      </c>
      <c r="H20" s="8">
        <v>45393</v>
      </c>
      <c r="I20" s="7" t="s">
        <v>36</v>
      </c>
      <c r="J20" s="7" t="s">
        <v>81</v>
      </c>
      <c r="K20" s="7" t="s">
        <v>76</v>
      </c>
      <c r="L20" s="7" t="s">
        <v>82</v>
      </c>
      <c r="M20" s="9">
        <v>650</v>
      </c>
      <c r="N20" s="35">
        <v>540</v>
      </c>
    </row>
    <row r="21" spans="1:14" ht="18" customHeight="1" x14ac:dyDescent="0.35">
      <c r="A21" s="26" t="s">
        <v>102</v>
      </c>
      <c r="B21" s="3" t="s">
        <v>103</v>
      </c>
      <c r="C21" s="3" t="str">
        <f>PROPER(TRIM(Table4[[#This Row],[Patient Name]]))</f>
        <v>Sanjay Chandran</v>
      </c>
      <c r="D21" s="2">
        <v>51</v>
      </c>
      <c r="E21" s="2" t="s">
        <v>773</v>
      </c>
      <c r="F21" s="2"/>
      <c r="G21" s="3" t="s">
        <v>35</v>
      </c>
      <c r="H21" s="4">
        <v>45132</v>
      </c>
      <c r="I21" s="3" t="s">
        <v>36</v>
      </c>
      <c r="J21" s="3" t="s">
        <v>37</v>
      </c>
      <c r="K21" s="3" t="s">
        <v>104</v>
      </c>
      <c r="L21" s="3" t="s">
        <v>39</v>
      </c>
      <c r="M21" s="5">
        <v>950</v>
      </c>
      <c r="N21" s="34">
        <v>380</v>
      </c>
    </row>
    <row r="22" spans="1:14" ht="18" customHeight="1" x14ac:dyDescent="0.35">
      <c r="A22" s="27" t="s">
        <v>105</v>
      </c>
      <c r="B22" s="7" t="s">
        <v>106</v>
      </c>
      <c r="C22" s="7" t="str">
        <f>PROPER(TRIM(Table4[[#This Row],[Patient Name]]))</f>
        <v>Tanya Menon</v>
      </c>
      <c r="D22" s="6">
        <v>35</v>
      </c>
      <c r="E22" s="6" t="s">
        <v>772</v>
      </c>
      <c r="F22" s="6"/>
      <c r="G22" s="7" t="s">
        <v>107</v>
      </c>
      <c r="H22" s="8">
        <v>45391</v>
      </c>
      <c r="I22" s="7" t="s">
        <v>17</v>
      </c>
      <c r="J22" s="7" t="s">
        <v>18</v>
      </c>
      <c r="K22" s="7" t="s">
        <v>19</v>
      </c>
      <c r="L22" s="7" t="s">
        <v>24</v>
      </c>
      <c r="M22" s="9">
        <v>1000</v>
      </c>
      <c r="N22" s="35">
        <v>550</v>
      </c>
    </row>
    <row r="23" spans="1:14" ht="18" customHeight="1" x14ac:dyDescent="0.35">
      <c r="A23" s="26" t="s">
        <v>108</v>
      </c>
      <c r="B23" s="3" t="s">
        <v>109</v>
      </c>
      <c r="C23" s="3" t="str">
        <f>PROPER(TRIM(Table4[[#This Row],[Patient Name]]))</f>
        <v>Uday Subramanian</v>
      </c>
      <c r="D23" s="2">
        <v>70</v>
      </c>
      <c r="E23" s="2" t="s">
        <v>772</v>
      </c>
      <c r="F23" s="2"/>
      <c r="G23" s="3" t="s">
        <v>80</v>
      </c>
      <c r="H23" s="4">
        <v>45049</v>
      </c>
      <c r="I23" s="3" t="s">
        <v>28</v>
      </c>
      <c r="J23" s="3" t="s">
        <v>29</v>
      </c>
      <c r="K23" s="3" t="s">
        <v>110</v>
      </c>
      <c r="L23" s="3" t="s">
        <v>111</v>
      </c>
      <c r="M23" s="5">
        <v>650</v>
      </c>
      <c r="N23" s="34">
        <v>280</v>
      </c>
    </row>
    <row r="24" spans="1:14" ht="18" customHeight="1" x14ac:dyDescent="0.35">
      <c r="A24" s="27" t="s">
        <v>112</v>
      </c>
      <c r="B24" s="7" t="s">
        <v>113</v>
      </c>
      <c r="C24" s="7" t="str">
        <f>PROPER(TRIM(Table4[[#This Row],[Patient Name]]))</f>
        <v>Vimala Vel</v>
      </c>
      <c r="D24" s="6">
        <v>60</v>
      </c>
      <c r="E24" s="6" t="s">
        <v>773</v>
      </c>
      <c r="F24" s="6"/>
      <c r="G24" s="7" t="s">
        <v>69</v>
      </c>
      <c r="H24" s="8">
        <v>45460</v>
      </c>
      <c r="I24" s="7" t="s">
        <v>48</v>
      </c>
      <c r="J24" s="7" t="s">
        <v>93</v>
      </c>
      <c r="K24" s="7" t="s">
        <v>55</v>
      </c>
      <c r="L24" s="7" t="s">
        <v>114</v>
      </c>
      <c r="M24" s="9">
        <v>650</v>
      </c>
      <c r="N24" s="35">
        <v>350</v>
      </c>
    </row>
    <row r="25" spans="1:14" ht="18" customHeight="1" x14ac:dyDescent="0.35">
      <c r="A25" s="26" t="s">
        <v>115</v>
      </c>
      <c r="B25" s="3" t="s">
        <v>116</v>
      </c>
      <c r="C25" s="3" t="str">
        <f>PROPER(TRIM(Table4[[#This Row],[Patient Name]]))</f>
        <v>Wasim Pandian</v>
      </c>
      <c r="D25" s="2">
        <v>39</v>
      </c>
      <c r="E25" s="2" t="s">
        <v>773</v>
      </c>
      <c r="F25" s="2"/>
      <c r="G25" s="3" t="s">
        <v>27</v>
      </c>
      <c r="H25" s="4">
        <v>45463</v>
      </c>
      <c r="I25" s="3" t="s">
        <v>42</v>
      </c>
      <c r="J25" s="3" t="s">
        <v>70</v>
      </c>
      <c r="K25" s="3" t="s">
        <v>110</v>
      </c>
      <c r="L25" s="3" t="s">
        <v>90</v>
      </c>
      <c r="M25" s="5">
        <v>300</v>
      </c>
      <c r="N25" s="34">
        <v>170</v>
      </c>
    </row>
    <row r="26" spans="1:14" ht="18" customHeight="1" x14ac:dyDescent="0.35">
      <c r="A26" s="27" t="s">
        <v>117</v>
      </c>
      <c r="B26" s="7" t="s">
        <v>118</v>
      </c>
      <c r="C26" s="7" t="str">
        <f>PROPER(TRIM(Table4[[#This Row],[Patient Name]]))</f>
        <v>Xena Devi</v>
      </c>
      <c r="D26" s="6">
        <v>79</v>
      </c>
      <c r="E26" s="6" t="s">
        <v>772</v>
      </c>
      <c r="F26" s="6"/>
      <c r="G26" s="7" t="s">
        <v>16</v>
      </c>
      <c r="H26" s="8">
        <v>45450</v>
      </c>
      <c r="I26" s="7" t="s">
        <v>42</v>
      </c>
      <c r="J26" s="7" t="s">
        <v>43</v>
      </c>
      <c r="K26" s="7" t="s">
        <v>110</v>
      </c>
      <c r="L26" s="7" t="s">
        <v>119</v>
      </c>
      <c r="M26" s="9">
        <v>400</v>
      </c>
      <c r="N26" s="35">
        <v>250</v>
      </c>
    </row>
    <row r="27" spans="1:14" ht="18" customHeight="1" x14ac:dyDescent="0.35">
      <c r="A27" s="26" t="s">
        <v>120</v>
      </c>
      <c r="B27" s="3" t="s">
        <v>121</v>
      </c>
      <c r="C27" s="3" t="str">
        <f>PROPER(TRIM(Table4[[#This Row],[Patient Name]]))</f>
        <v>Yogesh Menon</v>
      </c>
      <c r="D27" s="2">
        <v>40</v>
      </c>
      <c r="E27" s="2" t="s">
        <v>772</v>
      </c>
      <c r="F27" s="2"/>
      <c r="G27" s="3" t="s">
        <v>27</v>
      </c>
      <c r="H27" s="4">
        <v>44967</v>
      </c>
      <c r="I27" s="3" t="s">
        <v>28</v>
      </c>
      <c r="J27" s="3" t="s">
        <v>122</v>
      </c>
      <c r="K27" s="3" t="s">
        <v>123</v>
      </c>
      <c r="L27" s="3" t="s">
        <v>61</v>
      </c>
      <c r="M27" s="5">
        <v>450</v>
      </c>
      <c r="N27" s="34">
        <v>150</v>
      </c>
    </row>
    <row r="28" spans="1:14" ht="18" customHeight="1" x14ac:dyDescent="0.35">
      <c r="A28" s="27" t="s">
        <v>124</v>
      </c>
      <c r="B28" s="7" t="s">
        <v>125</v>
      </c>
      <c r="C28" s="7" t="str">
        <f>PROPER(TRIM(Table4[[#This Row],[Patient Name]]))</f>
        <v>Zara Krishnan</v>
      </c>
      <c r="D28" s="6">
        <v>24</v>
      </c>
      <c r="E28" s="6" t="s">
        <v>773</v>
      </c>
      <c r="F28" s="6"/>
      <c r="G28" s="7" t="s">
        <v>27</v>
      </c>
      <c r="H28" s="8">
        <v>45315</v>
      </c>
      <c r="I28" s="7" t="s">
        <v>36</v>
      </c>
      <c r="J28" s="7" t="s">
        <v>81</v>
      </c>
      <c r="K28" s="7" t="s">
        <v>104</v>
      </c>
      <c r="L28" s="7" t="s">
        <v>82</v>
      </c>
      <c r="M28" s="9">
        <v>800</v>
      </c>
      <c r="N28" s="35">
        <v>260</v>
      </c>
    </row>
    <row r="29" spans="1:14" ht="18" customHeight="1" x14ac:dyDescent="0.35">
      <c r="A29" s="26" t="s">
        <v>126</v>
      </c>
      <c r="B29" s="3" t="s">
        <v>127</v>
      </c>
      <c r="C29" s="3" t="str">
        <f>PROPER(TRIM(Table4[[#This Row],[Patient Name]]))</f>
        <v>Arjun Murugan</v>
      </c>
      <c r="D29" s="2">
        <v>31</v>
      </c>
      <c r="E29" s="2" t="s">
        <v>773</v>
      </c>
      <c r="F29" s="2"/>
      <c r="G29" s="3" t="s">
        <v>69</v>
      </c>
      <c r="H29" s="4">
        <v>45429</v>
      </c>
      <c r="I29" s="3" t="s">
        <v>42</v>
      </c>
      <c r="J29" s="3" t="s">
        <v>70</v>
      </c>
      <c r="K29" s="3" t="s">
        <v>128</v>
      </c>
      <c r="L29" s="3" t="s">
        <v>129</v>
      </c>
      <c r="M29" s="5">
        <v>350</v>
      </c>
      <c r="N29" s="34">
        <v>200</v>
      </c>
    </row>
    <row r="30" spans="1:14" ht="18" customHeight="1" x14ac:dyDescent="0.35">
      <c r="A30" s="27" t="s">
        <v>130</v>
      </c>
      <c r="B30" s="7" t="s">
        <v>131</v>
      </c>
      <c r="C30" s="7" t="str">
        <f>PROPER(TRIM(Table4[[#This Row],[Patient Name]]))</f>
        <v>Bhanu Mani</v>
      </c>
      <c r="D30" s="6">
        <v>33</v>
      </c>
      <c r="E30" s="6" t="s">
        <v>773</v>
      </c>
      <c r="F30" s="6"/>
      <c r="G30" s="7" t="s">
        <v>80</v>
      </c>
      <c r="H30" s="8">
        <v>44965</v>
      </c>
      <c r="I30" s="7" t="s">
        <v>36</v>
      </c>
      <c r="J30" s="7" t="s">
        <v>81</v>
      </c>
      <c r="K30" s="7" t="s">
        <v>132</v>
      </c>
      <c r="L30" s="7" t="s">
        <v>133</v>
      </c>
      <c r="M30" s="9">
        <v>750</v>
      </c>
      <c r="N30" s="35">
        <v>570</v>
      </c>
    </row>
    <row r="31" spans="1:14" ht="18" customHeight="1" x14ac:dyDescent="0.35">
      <c r="A31" s="26" t="s">
        <v>134</v>
      </c>
      <c r="B31" s="3" t="s">
        <v>135</v>
      </c>
      <c r="C31" s="3" t="str">
        <f>PROPER(TRIM(Table4[[#This Row],[Patient Name]]))</f>
        <v>Chitra Menon</v>
      </c>
      <c r="D31" s="2">
        <v>14</v>
      </c>
      <c r="E31" s="2" t="s">
        <v>772</v>
      </c>
      <c r="F31" s="2"/>
      <c r="G31" s="3" t="s">
        <v>35</v>
      </c>
      <c r="H31" s="4">
        <v>45488</v>
      </c>
      <c r="I31" s="3" t="s">
        <v>42</v>
      </c>
      <c r="J31" s="3" t="s">
        <v>70</v>
      </c>
      <c r="K31" s="3" t="s">
        <v>136</v>
      </c>
      <c r="L31" s="3" t="s">
        <v>86</v>
      </c>
      <c r="M31" s="5">
        <v>300</v>
      </c>
      <c r="N31" s="34">
        <v>220</v>
      </c>
    </row>
    <row r="32" spans="1:14" ht="18" customHeight="1" x14ac:dyDescent="0.35">
      <c r="A32" s="27" t="s">
        <v>137</v>
      </c>
      <c r="B32" s="7" t="s">
        <v>138</v>
      </c>
      <c r="C32" s="7" t="str">
        <f>PROPER(TRIM(Table4[[#This Row],[Patient Name]]))</f>
        <v>Dinesh Pillai</v>
      </c>
      <c r="D32" s="6">
        <v>37</v>
      </c>
      <c r="E32" s="6" t="s">
        <v>773</v>
      </c>
      <c r="F32" s="6"/>
      <c r="G32" s="7" t="s">
        <v>16</v>
      </c>
      <c r="H32" s="8">
        <v>45191</v>
      </c>
      <c r="I32" s="7" t="s">
        <v>36</v>
      </c>
      <c r="J32" s="7" t="s">
        <v>81</v>
      </c>
      <c r="K32" s="7" t="s">
        <v>132</v>
      </c>
      <c r="L32" s="7" t="s">
        <v>133</v>
      </c>
      <c r="M32" s="9">
        <v>750</v>
      </c>
      <c r="N32" s="35">
        <v>210</v>
      </c>
    </row>
    <row r="33" spans="1:14" ht="18" customHeight="1" x14ac:dyDescent="0.35">
      <c r="A33" s="26" t="s">
        <v>139</v>
      </c>
      <c r="B33" s="3" t="s">
        <v>140</v>
      </c>
      <c r="C33" s="3" t="str">
        <f>PROPER(TRIM(Table4[[#This Row],[Patient Name]]))</f>
        <v>Esha Narayanan</v>
      </c>
      <c r="D33" s="2">
        <v>55</v>
      </c>
      <c r="E33" s="2" t="s">
        <v>773</v>
      </c>
      <c r="F33" s="2"/>
      <c r="G33" s="3" t="s">
        <v>80</v>
      </c>
      <c r="H33" s="4">
        <v>45525</v>
      </c>
      <c r="I33" s="3" t="s">
        <v>48</v>
      </c>
      <c r="J33" s="3" t="s">
        <v>54</v>
      </c>
      <c r="K33" s="3" t="s">
        <v>55</v>
      </c>
      <c r="L33" s="3" t="s">
        <v>141</v>
      </c>
      <c r="M33" s="5">
        <v>700</v>
      </c>
      <c r="N33" s="34">
        <v>260</v>
      </c>
    </row>
    <row r="34" spans="1:14" ht="18" customHeight="1" x14ac:dyDescent="0.35">
      <c r="A34" s="27" t="s">
        <v>142</v>
      </c>
      <c r="B34" s="7" t="s">
        <v>143</v>
      </c>
      <c r="C34" s="7" t="str">
        <f>PROPER(TRIM(Table4[[#This Row],[Patient Name]]))</f>
        <v>Farhan Mani</v>
      </c>
      <c r="D34" s="6">
        <v>45</v>
      </c>
      <c r="E34" s="6" t="s">
        <v>772</v>
      </c>
      <c r="F34" s="6"/>
      <c r="G34" s="7" t="s">
        <v>69</v>
      </c>
      <c r="H34" s="8">
        <v>45247</v>
      </c>
      <c r="I34" s="7" t="s">
        <v>36</v>
      </c>
      <c r="J34" s="7" t="s">
        <v>37</v>
      </c>
      <c r="K34" s="7" t="s">
        <v>144</v>
      </c>
      <c r="L34" s="7" t="s">
        <v>77</v>
      </c>
      <c r="M34" s="9">
        <v>900</v>
      </c>
      <c r="N34" s="35">
        <v>380</v>
      </c>
    </row>
    <row r="35" spans="1:14" ht="18" customHeight="1" x14ac:dyDescent="0.35">
      <c r="A35" s="26" t="s">
        <v>145</v>
      </c>
      <c r="B35" s="3" t="s">
        <v>146</v>
      </c>
      <c r="C35" s="3" t="str">
        <f>PROPER(TRIM(Table4[[#This Row],[Patient Name]]))</f>
        <v>Geetha Iyer</v>
      </c>
      <c r="D35" s="2">
        <v>72</v>
      </c>
      <c r="E35" s="2" t="s">
        <v>773</v>
      </c>
      <c r="F35" s="2"/>
      <c r="G35" s="3" t="s">
        <v>16</v>
      </c>
      <c r="H35" s="4">
        <v>45584</v>
      </c>
      <c r="I35" s="3" t="s">
        <v>17</v>
      </c>
      <c r="J35" s="3" t="s">
        <v>18</v>
      </c>
      <c r="K35" s="3" t="s">
        <v>147</v>
      </c>
      <c r="L35" s="3" t="s">
        <v>148</v>
      </c>
      <c r="M35" s="5">
        <v>750</v>
      </c>
      <c r="N35" s="34">
        <v>850</v>
      </c>
    </row>
    <row r="36" spans="1:14" ht="18" customHeight="1" x14ac:dyDescent="0.35">
      <c r="A36" s="27" t="s">
        <v>149</v>
      </c>
      <c r="B36" s="7" t="s">
        <v>150</v>
      </c>
      <c r="C36" s="7" t="str">
        <f>PROPER(TRIM(Table4[[#This Row],[Patient Name]]))</f>
        <v>Harish Devi</v>
      </c>
      <c r="D36" s="6">
        <v>41</v>
      </c>
      <c r="E36" s="6" t="s">
        <v>773</v>
      </c>
      <c r="F36" s="6"/>
      <c r="G36" s="7" t="s">
        <v>16</v>
      </c>
      <c r="H36" s="8">
        <v>45100</v>
      </c>
      <c r="I36" s="7" t="s">
        <v>48</v>
      </c>
      <c r="J36" s="7" t="s">
        <v>93</v>
      </c>
      <c r="K36" s="7" t="s">
        <v>151</v>
      </c>
      <c r="L36" s="7" t="s">
        <v>141</v>
      </c>
      <c r="M36" s="9">
        <v>650</v>
      </c>
      <c r="N36" s="35">
        <v>170</v>
      </c>
    </row>
    <row r="37" spans="1:14" ht="18" customHeight="1" x14ac:dyDescent="0.35">
      <c r="A37" s="26" t="s">
        <v>152</v>
      </c>
      <c r="B37" s="3" t="s">
        <v>153</v>
      </c>
      <c r="C37" s="3" t="str">
        <f>PROPER(TRIM(Table4[[#This Row],[Patient Name]]))</f>
        <v>Indira Patel</v>
      </c>
      <c r="D37" s="2">
        <v>29</v>
      </c>
      <c r="E37" s="2" t="s">
        <v>772</v>
      </c>
      <c r="F37" s="2"/>
      <c r="G37" s="3" t="s">
        <v>16</v>
      </c>
      <c r="H37" s="4">
        <v>45599</v>
      </c>
      <c r="I37" s="3" t="s">
        <v>17</v>
      </c>
      <c r="J37" s="3" t="s">
        <v>23</v>
      </c>
      <c r="K37" s="3" t="s">
        <v>154</v>
      </c>
      <c r="L37" s="3" t="s">
        <v>20</v>
      </c>
      <c r="M37" s="5">
        <v>900</v>
      </c>
      <c r="N37" s="34">
        <v>680</v>
      </c>
    </row>
    <row r="38" spans="1:14" ht="18" customHeight="1" x14ac:dyDescent="0.35">
      <c r="A38" s="27" t="s">
        <v>155</v>
      </c>
      <c r="B38" s="7" t="s">
        <v>156</v>
      </c>
      <c r="C38" s="7" t="str">
        <f>PROPER(TRIM(Table4[[#This Row],[Patient Name]]))</f>
        <v>Jaya Reddy</v>
      </c>
      <c r="D38" s="6">
        <v>37</v>
      </c>
      <c r="E38" s="6" t="s">
        <v>772</v>
      </c>
      <c r="F38" s="6"/>
      <c r="G38" s="7" t="s">
        <v>107</v>
      </c>
      <c r="H38" s="8">
        <v>45448</v>
      </c>
      <c r="I38" s="7" t="s">
        <v>42</v>
      </c>
      <c r="J38" s="7" t="s">
        <v>43</v>
      </c>
      <c r="K38" s="7" t="s">
        <v>110</v>
      </c>
      <c r="L38" s="7" t="s">
        <v>119</v>
      </c>
      <c r="M38" s="9">
        <v>400</v>
      </c>
      <c r="N38" s="35">
        <v>300</v>
      </c>
    </row>
    <row r="39" spans="1:14" ht="18" customHeight="1" x14ac:dyDescent="0.35">
      <c r="A39" s="26" t="s">
        <v>157</v>
      </c>
      <c r="B39" s="3" t="s">
        <v>158</v>
      </c>
      <c r="C39" s="3" t="str">
        <f>PROPER(TRIM(Table4[[#This Row],[Patient Name]]))</f>
        <v>Kiran Raja</v>
      </c>
      <c r="D39" s="2">
        <v>19</v>
      </c>
      <c r="E39" s="2" t="s">
        <v>773</v>
      </c>
      <c r="F39" s="2"/>
      <c r="G39" s="3" t="s">
        <v>107</v>
      </c>
      <c r="H39" s="4">
        <v>45060</v>
      </c>
      <c r="I39" s="3" t="s">
        <v>48</v>
      </c>
      <c r="J39" s="3" t="s">
        <v>49</v>
      </c>
      <c r="K39" s="3" t="s">
        <v>50</v>
      </c>
      <c r="L39" s="3" t="s">
        <v>56</v>
      </c>
      <c r="M39" s="5">
        <v>850</v>
      </c>
      <c r="N39" s="34">
        <v>490</v>
      </c>
    </row>
    <row r="40" spans="1:14" ht="18" customHeight="1" x14ac:dyDescent="0.35">
      <c r="A40" s="27" t="s">
        <v>159</v>
      </c>
      <c r="B40" s="7" t="s">
        <v>160</v>
      </c>
      <c r="C40" s="7" t="str">
        <f>PROPER(TRIM(Table4[[#This Row],[Patient Name]]))</f>
        <v>Latha Rajan</v>
      </c>
      <c r="D40" s="6">
        <v>74</v>
      </c>
      <c r="E40" s="6" t="s">
        <v>773</v>
      </c>
      <c r="F40" s="6"/>
      <c r="G40" s="7" t="s">
        <v>16</v>
      </c>
      <c r="H40" s="8">
        <v>45490</v>
      </c>
      <c r="I40" s="7" t="s">
        <v>36</v>
      </c>
      <c r="J40" s="7" t="s">
        <v>75</v>
      </c>
      <c r="K40" s="7" t="s">
        <v>104</v>
      </c>
      <c r="L40" s="7" t="s">
        <v>82</v>
      </c>
      <c r="M40" s="9">
        <v>1000</v>
      </c>
      <c r="N40" s="35">
        <v>400</v>
      </c>
    </row>
    <row r="41" spans="1:14" ht="18" customHeight="1" x14ac:dyDescent="0.35">
      <c r="A41" s="26" t="s">
        <v>161</v>
      </c>
      <c r="B41" s="3" t="s">
        <v>162</v>
      </c>
      <c r="C41" s="3" t="str">
        <f>PROPER(TRIM(Table4[[#This Row],[Patient Name]]))</f>
        <v>Mani Mani</v>
      </c>
      <c r="D41" s="2">
        <v>7</v>
      </c>
      <c r="E41" s="2" t="s">
        <v>773</v>
      </c>
      <c r="F41" s="2"/>
      <c r="G41" s="3" t="s">
        <v>16</v>
      </c>
      <c r="H41" s="4">
        <v>45233</v>
      </c>
      <c r="I41" s="3" t="s">
        <v>17</v>
      </c>
      <c r="J41" s="3" t="s">
        <v>23</v>
      </c>
      <c r="K41" s="3" t="s">
        <v>65</v>
      </c>
      <c r="L41" s="3" t="s">
        <v>20</v>
      </c>
      <c r="M41" s="5">
        <v>700</v>
      </c>
      <c r="N41" s="34">
        <v>430</v>
      </c>
    </row>
    <row r="42" spans="1:14" ht="18" customHeight="1" x14ac:dyDescent="0.35">
      <c r="A42" s="27" t="s">
        <v>163</v>
      </c>
      <c r="B42" s="7" t="s">
        <v>164</v>
      </c>
      <c r="C42" s="7" t="str">
        <f>PROPER(TRIM(Table4[[#This Row],[Patient Name]]))</f>
        <v>Nalini Reddy</v>
      </c>
      <c r="D42" s="6">
        <v>49</v>
      </c>
      <c r="E42" s="6" t="s">
        <v>772</v>
      </c>
      <c r="F42" s="6"/>
      <c r="G42" s="7" t="s">
        <v>107</v>
      </c>
      <c r="H42" s="8">
        <v>45468</v>
      </c>
      <c r="I42" s="7" t="s">
        <v>28</v>
      </c>
      <c r="J42" s="7" t="s">
        <v>29</v>
      </c>
      <c r="K42" s="7" t="s">
        <v>110</v>
      </c>
      <c r="L42" s="7" t="s">
        <v>61</v>
      </c>
      <c r="M42" s="9">
        <v>500</v>
      </c>
      <c r="N42" s="35">
        <v>260</v>
      </c>
    </row>
    <row r="43" spans="1:14" ht="18" customHeight="1" x14ac:dyDescent="0.35">
      <c r="A43" s="26" t="s">
        <v>165</v>
      </c>
      <c r="B43" s="3" t="s">
        <v>166</v>
      </c>
      <c r="C43" s="3" t="str">
        <f>PROPER(TRIM(Table4[[#This Row],[Patient Name]]))</f>
        <v>Pavan Chandran</v>
      </c>
      <c r="D43" s="2">
        <v>29</v>
      </c>
      <c r="E43" s="2" t="s">
        <v>773</v>
      </c>
      <c r="F43" s="2"/>
      <c r="G43" s="3" t="s">
        <v>80</v>
      </c>
      <c r="H43" s="4">
        <v>45627</v>
      </c>
      <c r="I43" s="3" t="s">
        <v>42</v>
      </c>
      <c r="J43" s="3" t="s">
        <v>70</v>
      </c>
      <c r="K43" s="3" t="s">
        <v>44</v>
      </c>
      <c r="L43" s="3" t="s">
        <v>72</v>
      </c>
      <c r="M43" s="5">
        <v>350</v>
      </c>
      <c r="N43" s="34">
        <v>320</v>
      </c>
    </row>
    <row r="44" spans="1:14" ht="18" customHeight="1" x14ac:dyDescent="0.35">
      <c r="A44" s="27" t="s">
        <v>167</v>
      </c>
      <c r="B44" s="7" t="s">
        <v>168</v>
      </c>
      <c r="C44" s="7" t="str">
        <f>PROPER(TRIM(Table4[[#This Row],[Patient Name]]))</f>
        <v>Radha Patel</v>
      </c>
      <c r="D44" s="6">
        <v>62</v>
      </c>
      <c r="E44" s="6" t="s">
        <v>773</v>
      </c>
      <c r="F44" s="6"/>
      <c r="G44" s="7" t="s">
        <v>69</v>
      </c>
      <c r="H44" s="8">
        <v>44951</v>
      </c>
      <c r="I44" s="7" t="s">
        <v>28</v>
      </c>
      <c r="J44" s="7" t="s">
        <v>29</v>
      </c>
      <c r="K44" s="7" t="s">
        <v>60</v>
      </c>
      <c r="L44" s="7" t="s">
        <v>61</v>
      </c>
      <c r="M44" s="9">
        <v>400</v>
      </c>
      <c r="N44" s="35">
        <v>260</v>
      </c>
    </row>
    <row r="45" spans="1:14" ht="18" customHeight="1" x14ac:dyDescent="0.35">
      <c r="A45" s="26" t="s">
        <v>169</v>
      </c>
      <c r="B45" s="3" t="s">
        <v>774</v>
      </c>
      <c r="C45" s="3" t="str">
        <f>PROPER(TRIM(Table4[[#This Row],[Patient Name]]))</f>
        <v>Suresh Murugan</v>
      </c>
      <c r="D45" s="2">
        <v>67</v>
      </c>
      <c r="E45" s="2" t="s">
        <v>772</v>
      </c>
      <c r="F45" s="2"/>
      <c r="G45" s="3" t="s">
        <v>35</v>
      </c>
      <c r="H45" s="4">
        <v>45100</v>
      </c>
      <c r="I45" s="3" t="s">
        <v>48</v>
      </c>
      <c r="J45" s="3" t="s">
        <v>93</v>
      </c>
      <c r="K45" s="3" t="s">
        <v>151</v>
      </c>
      <c r="L45" s="3" t="s">
        <v>56</v>
      </c>
      <c r="M45" s="5">
        <v>800</v>
      </c>
      <c r="N45" s="34">
        <v>340</v>
      </c>
    </row>
    <row r="46" spans="1:14" ht="18" customHeight="1" x14ac:dyDescent="0.35">
      <c r="A46" s="27" t="s">
        <v>170</v>
      </c>
      <c r="B46" s="7" t="s">
        <v>171</v>
      </c>
      <c r="C46" s="7" t="str">
        <f>PROPER(TRIM(Table4[[#This Row],[Patient Name]]))</f>
        <v>Thilaga Sharma</v>
      </c>
      <c r="D46" s="6">
        <v>57</v>
      </c>
      <c r="E46" s="6" t="s">
        <v>773</v>
      </c>
      <c r="F46" s="6"/>
      <c r="G46" s="7" t="s">
        <v>16</v>
      </c>
      <c r="H46" s="8">
        <v>45428</v>
      </c>
      <c r="I46" s="7" t="s">
        <v>28</v>
      </c>
      <c r="J46" s="7" t="s">
        <v>122</v>
      </c>
      <c r="K46" s="7" t="s">
        <v>123</v>
      </c>
      <c r="L46" s="7" t="s">
        <v>111</v>
      </c>
      <c r="M46" s="9">
        <v>550</v>
      </c>
      <c r="N46" s="35">
        <v>200</v>
      </c>
    </row>
    <row r="47" spans="1:14" ht="18" customHeight="1" x14ac:dyDescent="0.35">
      <c r="A47" s="26" t="s">
        <v>172</v>
      </c>
      <c r="B47" s="3" t="s">
        <v>173</v>
      </c>
      <c r="C47" s="3" t="str">
        <f>PROPER(TRIM(Table4[[#This Row],[Patient Name]]))</f>
        <v>Usha Singh</v>
      </c>
      <c r="D47" s="2">
        <v>36</v>
      </c>
      <c r="E47" s="2" t="s">
        <v>772</v>
      </c>
      <c r="F47" s="2"/>
      <c r="G47" s="3" t="s">
        <v>16</v>
      </c>
      <c r="H47" s="4">
        <v>45253</v>
      </c>
      <c r="I47" s="3" t="s">
        <v>28</v>
      </c>
      <c r="J47" s="3" t="s">
        <v>29</v>
      </c>
      <c r="K47" s="3" t="s">
        <v>174</v>
      </c>
      <c r="L47" s="3" t="s">
        <v>31</v>
      </c>
      <c r="M47" s="5">
        <v>550</v>
      </c>
      <c r="N47" s="34">
        <v>140</v>
      </c>
    </row>
    <row r="48" spans="1:14" ht="18" customHeight="1" x14ac:dyDescent="0.35">
      <c r="A48" s="27" t="s">
        <v>175</v>
      </c>
      <c r="B48" s="7" t="s">
        <v>176</v>
      </c>
      <c r="C48" s="7" t="str">
        <f>PROPER(TRIM(Table4[[#This Row],[Patient Name]]))</f>
        <v>Venkat Balan</v>
      </c>
      <c r="D48" s="6">
        <v>24</v>
      </c>
      <c r="E48" s="6" t="s">
        <v>773</v>
      </c>
      <c r="F48" s="6"/>
      <c r="G48" s="7" t="s">
        <v>35</v>
      </c>
      <c r="H48" s="8">
        <v>44986</v>
      </c>
      <c r="I48" s="7" t="s">
        <v>42</v>
      </c>
      <c r="J48" s="7" t="s">
        <v>89</v>
      </c>
      <c r="K48" s="7" t="s">
        <v>128</v>
      </c>
      <c r="L48" s="7" t="s">
        <v>129</v>
      </c>
      <c r="M48" s="9">
        <v>500</v>
      </c>
      <c r="N48" s="35">
        <v>350</v>
      </c>
    </row>
    <row r="49" spans="1:14" ht="18" customHeight="1" x14ac:dyDescent="0.35">
      <c r="A49" s="26" t="s">
        <v>177</v>
      </c>
      <c r="B49" s="3" t="s">
        <v>178</v>
      </c>
      <c r="C49" s="3" t="str">
        <f>PROPER(TRIM(Table4[[#This Row],[Patient Name]]))</f>
        <v>Yamini Kumar</v>
      </c>
      <c r="D49" s="2">
        <v>26</v>
      </c>
      <c r="E49" s="2" t="s">
        <v>773</v>
      </c>
      <c r="F49" s="2"/>
      <c r="G49" s="3" t="s">
        <v>80</v>
      </c>
      <c r="H49" s="4">
        <v>45646</v>
      </c>
      <c r="I49" s="3" t="s">
        <v>42</v>
      </c>
      <c r="J49" s="3" t="s">
        <v>89</v>
      </c>
      <c r="K49" s="3" t="s">
        <v>44</v>
      </c>
      <c r="L49" s="3" t="s">
        <v>45</v>
      </c>
      <c r="M49" s="5">
        <v>450</v>
      </c>
      <c r="N49" s="34">
        <v>180</v>
      </c>
    </row>
    <row r="50" spans="1:14" ht="18" customHeight="1" x14ac:dyDescent="0.35">
      <c r="A50" s="27" t="s">
        <v>179</v>
      </c>
      <c r="B50" s="7" t="s">
        <v>180</v>
      </c>
      <c r="C50" s="7" t="str">
        <f>PROPER(TRIM(Table4[[#This Row],[Patient Name]]))</f>
        <v>Aditya Subramanian</v>
      </c>
      <c r="D50" s="6">
        <v>68</v>
      </c>
      <c r="E50" s="6" t="s">
        <v>772</v>
      </c>
      <c r="F50" s="6"/>
      <c r="G50" s="7" t="s">
        <v>69</v>
      </c>
      <c r="H50" s="8">
        <v>45484</v>
      </c>
      <c r="I50" s="7" t="s">
        <v>28</v>
      </c>
      <c r="J50" s="7" t="s">
        <v>59</v>
      </c>
      <c r="K50" s="7" t="s">
        <v>60</v>
      </c>
      <c r="L50" s="7" t="s">
        <v>111</v>
      </c>
      <c r="M50" s="9">
        <v>500</v>
      </c>
      <c r="N50" s="35">
        <v>260</v>
      </c>
    </row>
    <row r="51" spans="1:14" ht="18" customHeight="1" x14ac:dyDescent="0.35">
      <c r="A51" s="26" t="s">
        <v>181</v>
      </c>
      <c r="B51" s="3" t="s">
        <v>182</v>
      </c>
      <c r="C51" s="3" t="str">
        <f>PROPER(TRIM(Table4[[#This Row],[Patient Name]]))</f>
        <v>Bharathi Menon</v>
      </c>
      <c r="D51" s="2">
        <v>35</v>
      </c>
      <c r="E51" s="2" t="s">
        <v>773</v>
      </c>
      <c r="F51" s="2"/>
      <c r="G51" s="3" t="s">
        <v>16</v>
      </c>
      <c r="H51" s="4">
        <v>45039</v>
      </c>
      <c r="I51" s="3" t="s">
        <v>17</v>
      </c>
      <c r="J51" s="3" t="s">
        <v>18</v>
      </c>
      <c r="K51" s="3" t="s">
        <v>19</v>
      </c>
      <c r="L51" s="3" t="s">
        <v>148</v>
      </c>
      <c r="M51" s="5">
        <v>800</v>
      </c>
      <c r="N51" s="34">
        <v>360</v>
      </c>
    </row>
    <row r="52" spans="1:14" ht="18" customHeight="1" x14ac:dyDescent="0.35">
      <c r="A52" s="27" t="s">
        <v>183</v>
      </c>
      <c r="B52" s="7" t="s">
        <v>184</v>
      </c>
      <c r="C52" s="7" t="str">
        <f>PROPER(TRIM(Table4[[#This Row],[Patient Name]]))</f>
        <v>Chandru Krishnan</v>
      </c>
      <c r="D52" s="6">
        <v>64</v>
      </c>
      <c r="E52" s="6" t="s">
        <v>773</v>
      </c>
      <c r="F52" s="6"/>
      <c r="G52" s="7" t="s">
        <v>16</v>
      </c>
      <c r="H52" s="8">
        <v>45427</v>
      </c>
      <c r="I52" s="7" t="s">
        <v>17</v>
      </c>
      <c r="J52" s="7" t="s">
        <v>18</v>
      </c>
      <c r="K52" s="7" t="s">
        <v>65</v>
      </c>
      <c r="L52" s="7" t="s">
        <v>20</v>
      </c>
      <c r="M52" s="9">
        <v>1050</v>
      </c>
      <c r="N52" s="35">
        <v>740</v>
      </c>
    </row>
    <row r="53" spans="1:14" ht="18" customHeight="1" x14ac:dyDescent="0.35">
      <c r="A53" s="26" t="s">
        <v>185</v>
      </c>
      <c r="B53" s="3" t="s">
        <v>186</v>
      </c>
      <c r="C53" s="3" t="str">
        <f>PROPER(TRIM(Table4[[#This Row],[Patient Name]]))</f>
        <v>Devika Balan</v>
      </c>
      <c r="D53" s="2">
        <v>44</v>
      </c>
      <c r="E53" s="2" t="s">
        <v>773</v>
      </c>
      <c r="F53" s="2"/>
      <c r="G53" s="3" t="s">
        <v>27</v>
      </c>
      <c r="H53" s="4">
        <v>45371</v>
      </c>
      <c r="I53" s="3" t="s">
        <v>48</v>
      </c>
      <c r="J53" s="3" t="s">
        <v>54</v>
      </c>
      <c r="K53" s="3" t="s">
        <v>55</v>
      </c>
      <c r="L53" s="3" t="s">
        <v>56</v>
      </c>
      <c r="M53" s="5">
        <v>850</v>
      </c>
      <c r="N53" s="34">
        <v>220</v>
      </c>
    </row>
    <row r="54" spans="1:14" ht="18" customHeight="1" x14ac:dyDescent="0.35">
      <c r="A54" s="27" t="s">
        <v>187</v>
      </c>
      <c r="B54" s="7" t="s">
        <v>188</v>
      </c>
      <c r="C54" s="7" t="str">
        <f>PROPER(TRIM(Table4[[#This Row],[Patient Name]]))</f>
        <v>Elango Reddy</v>
      </c>
      <c r="D54" s="6">
        <v>27</v>
      </c>
      <c r="E54" s="6" t="s">
        <v>773</v>
      </c>
      <c r="F54" s="6"/>
      <c r="G54" s="7" t="s">
        <v>27</v>
      </c>
      <c r="H54" s="8">
        <v>45524</v>
      </c>
      <c r="I54" s="7" t="s">
        <v>36</v>
      </c>
      <c r="J54" s="7" t="s">
        <v>37</v>
      </c>
      <c r="K54" s="7" t="s">
        <v>144</v>
      </c>
      <c r="L54" s="7" t="s">
        <v>189</v>
      </c>
      <c r="M54" s="9">
        <v>850</v>
      </c>
      <c r="N54" s="35">
        <v>600</v>
      </c>
    </row>
    <row r="55" spans="1:14" ht="18" customHeight="1" x14ac:dyDescent="0.35">
      <c r="A55" s="26" t="s">
        <v>190</v>
      </c>
      <c r="B55" s="3" t="s">
        <v>191</v>
      </c>
      <c r="C55" s="3" t="str">
        <f>PROPER(TRIM(Table4[[#This Row],[Patient Name]]))</f>
        <v>Fathima Narayanan</v>
      </c>
      <c r="D55" s="2">
        <v>62</v>
      </c>
      <c r="E55" s="2" t="s">
        <v>772</v>
      </c>
      <c r="F55" s="2"/>
      <c r="G55" s="3" t="s">
        <v>16</v>
      </c>
      <c r="H55" s="4">
        <v>45139</v>
      </c>
      <c r="I55" s="3" t="s">
        <v>17</v>
      </c>
      <c r="J55" s="3" t="s">
        <v>23</v>
      </c>
      <c r="K55" s="3" t="s">
        <v>192</v>
      </c>
      <c r="L55" s="3" t="s">
        <v>66</v>
      </c>
      <c r="M55" s="5">
        <v>750</v>
      </c>
      <c r="N55" s="34">
        <v>420</v>
      </c>
    </row>
    <row r="56" spans="1:14" ht="18" customHeight="1" x14ac:dyDescent="0.35">
      <c r="A56" s="27" t="s">
        <v>193</v>
      </c>
      <c r="B56" s="7" t="s">
        <v>194</v>
      </c>
      <c r="C56" s="7" t="str">
        <f>PROPER(TRIM(Table4[[#This Row],[Patient Name]]))</f>
        <v>Gopal Rajan</v>
      </c>
      <c r="D56" s="6">
        <v>73</v>
      </c>
      <c r="E56" s="6" t="s">
        <v>772</v>
      </c>
      <c r="F56" s="6"/>
      <c r="G56" s="7" t="s">
        <v>16</v>
      </c>
      <c r="H56" s="8">
        <v>45589</v>
      </c>
      <c r="I56" s="7" t="s">
        <v>42</v>
      </c>
      <c r="J56" s="7" t="s">
        <v>70</v>
      </c>
      <c r="K56" s="7" t="s">
        <v>71</v>
      </c>
      <c r="L56" s="7" t="s">
        <v>86</v>
      </c>
      <c r="M56" s="9">
        <v>350</v>
      </c>
      <c r="N56" s="35">
        <v>110</v>
      </c>
    </row>
    <row r="57" spans="1:14" ht="18" customHeight="1" x14ac:dyDescent="0.35">
      <c r="A57" s="26" t="s">
        <v>195</v>
      </c>
      <c r="B57" s="3" t="s">
        <v>196</v>
      </c>
      <c r="C57" s="3" t="str">
        <f>PROPER(TRIM(Table4[[#This Row],[Patient Name]]))</f>
        <v>Hema Menon</v>
      </c>
      <c r="D57" s="2">
        <v>29</v>
      </c>
      <c r="E57" s="2" t="s">
        <v>772</v>
      </c>
      <c r="F57" s="2"/>
      <c r="G57" s="3" t="s">
        <v>16</v>
      </c>
      <c r="H57" s="4">
        <v>45206</v>
      </c>
      <c r="I57" s="3" t="s">
        <v>42</v>
      </c>
      <c r="J57" s="3" t="s">
        <v>70</v>
      </c>
      <c r="K57" s="3" t="s">
        <v>136</v>
      </c>
      <c r="L57" s="3" t="s">
        <v>197</v>
      </c>
      <c r="M57" s="5">
        <v>350</v>
      </c>
      <c r="N57" s="34">
        <v>340</v>
      </c>
    </row>
    <row r="58" spans="1:14" ht="18" customHeight="1" x14ac:dyDescent="0.35">
      <c r="A58" s="27" t="s">
        <v>198</v>
      </c>
      <c r="B58" s="7" t="s">
        <v>199</v>
      </c>
      <c r="C58" s="7" t="str">
        <f>PROPER(TRIM(Table4[[#This Row],[Patient Name]]))</f>
        <v>Ilango Pandian</v>
      </c>
      <c r="D58" s="6">
        <v>47</v>
      </c>
      <c r="E58" s="6" t="s">
        <v>772</v>
      </c>
      <c r="F58" s="6"/>
      <c r="G58" s="7" t="s">
        <v>35</v>
      </c>
      <c r="H58" s="8">
        <v>45245</v>
      </c>
      <c r="I58" s="7" t="s">
        <v>42</v>
      </c>
      <c r="J58" s="7" t="s">
        <v>43</v>
      </c>
      <c r="K58" s="7" t="s">
        <v>110</v>
      </c>
      <c r="L58" s="7" t="s">
        <v>86</v>
      </c>
      <c r="M58" s="9">
        <v>350</v>
      </c>
      <c r="N58" s="35">
        <v>300</v>
      </c>
    </row>
    <row r="59" spans="1:14" ht="18" customHeight="1" x14ac:dyDescent="0.35">
      <c r="A59" s="26" t="s">
        <v>200</v>
      </c>
      <c r="B59" s="3" t="s">
        <v>201</v>
      </c>
      <c r="C59" s="3" t="str">
        <f>PROPER(TRIM(Table4[[#This Row],[Patient Name]]))</f>
        <v>Janani Narayanan</v>
      </c>
      <c r="D59" s="2">
        <v>47</v>
      </c>
      <c r="E59" s="2" t="s">
        <v>772</v>
      </c>
      <c r="F59" s="2"/>
      <c r="G59" s="3" t="s">
        <v>27</v>
      </c>
      <c r="H59" s="4">
        <v>45515</v>
      </c>
      <c r="I59" s="3" t="s">
        <v>36</v>
      </c>
      <c r="J59" s="3" t="s">
        <v>37</v>
      </c>
      <c r="K59" s="3" t="s">
        <v>144</v>
      </c>
      <c r="L59" s="3" t="s">
        <v>82</v>
      </c>
      <c r="M59" s="5">
        <v>600</v>
      </c>
      <c r="N59" s="34">
        <v>440</v>
      </c>
    </row>
    <row r="60" spans="1:14" ht="18" customHeight="1" x14ac:dyDescent="0.35">
      <c r="A60" s="27" t="s">
        <v>202</v>
      </c>
      <c r="B60" s="7" t="s">
        <v>203</v>
      </c>
      <c r="C60" s="7" t="str">
        <f>PROPER(TRIM(Table4[[#This Row],[Patient Name]]))</f>
        <v>Kabilan Sharma</v>
      </c>
      <c r="D60" s="6">
        <v>15</v>
      </c>
      <c r="E60" s="6" t="s">
        <v>773</v>
      </c>
      <c r="F60" s="6"/>
      <c r="G60" s="7" t="s">
        <v>16</v>
      </c>
      <c r="H60" s="8">
        <v>44940</v>
      </c>
      <c r="I60" s="7" t="s">
        <v>28</v>
      </c>
      <c r="J60" s="7" t="s">
        <v>122</v>
      </c>
      <c r="K60" s="7" t="s">
        <v>110</v>
      </c>
      <c r="L60" s="7" t="s">
        <v>31</v>
      </c>
      <c r="M60" s="9">
        <v>600</v>
      </c>
      <c r="N60" s="35">
        <v>170</v>
      </c>
    </row>
    <row r="61" spans="1:14" ht="18" customHeight="1" x14ac:dyDescent="0.35">
      <c r="A61" s="26" t="s">
        <v>204</v>
      </c>
      <c r="B61" s="3" t="s">
        <v>205</v>
      </c>
      <c r="C61" s="3" t="str">
        <f>PROPER(TRIM(Table4[[#This Row],[Patient Name]]))</f>
        <v>Lalitha Krishnan</v>
      </c>
      <c r="D61" s="2">
        <v>38</v>
      </c>
      <c r="E61" s="2" t="s">
        <v>773</v>
      </c>
      <c r="F61" s="2"/>
      <c r="G61" s="3" t="s">
        <v>107</v>
      </c>
      <c r="H61" s="4">
        <v>45059</v>
      </c>
      <c r="I61" s="3" t="s">
        <v>42</v>
      </c>
      <c r="J61" s="3" t="s">
        <v>70</v>
      </c>
      <c r="K61" s="3" t="s">
        <v>85</v>
      </c>
      <c r="L61" s="3" t="s">
        <v>129</v>
      </c>
      <c r="M61" s="5">
        <v>450</v>
      </c>
      <c r="N61" s="34">
        <v>140</v>
      </c>
    </row>
    <row r="62" spans="1:14" ht="18" customHeight="1" x14ac:dyDescent="0.35">
      <c r="A62" s="27" t="s">
        <v>206</v>
      </c>
      <c r="B62" s="7" t="s">
        <v>207</v>
      </c>
      <c r="C62" s="7" t="str">
        <f>PROPER(TRIM(Table4[[#This Row],[Patient Name]]))</f>
        <v>Muthu Pillai</v>
      </c>
      <c r="D62" s="6">
        <v>14</v>
      </c>
      <c r="E62" s="6" t="s">
        <v>772</v>
      </c>
      <c r="F62" s="6"/>
      <c r="G62" s="7" t="s">
        <v>16</v>
      </c>
      <c r="H62" s="8">
        <v>45135</v>
      </c>
      <c r="I62" s="7" t="s">
        <v>17</v>
      </c>
      <c r="J62" s="7" t="s">
        <v>18</v>
      </c>
      <c r="K62" s="7" t="s">
        <v>65</v>
      </c>
      <c r="L62" s="7" t="s">
        <v>148</v>
      </c>
      <c r="M62" s="9">
        <v>1150</v>
      </c>
      <c r="N62" s="35">
        <v>440</v>
      </c>
    </row>
    <row r="63" spans="1:14" ht="18" customHeight="1" x14ac:dyDescent="0.35">
      <c r="A63" s="26" t="s">
        <v>208</v>
      </c>
      <c r="B63" s="3" t="s">
        <v>209</v>
      </c>
      <c r="C63" s="3" t="str">
        <f>PROPER(TRIM(Table4[[#This Row],[Patient Name]]))</f>
        <v>Nandini Menon</v>
      </c>
      <c r="D63" s="2">
        <v>54</v>
      </c>
      <c r="E63" s="2" t="s">
        <v>772</v>
      </c>
      <c r="F63" s="2"/>
      <c r="G63" s="3" t="s">
        <v>69</v>
      </c>
      <c r="H63" s="4">
        <v>45319</v>
      </c>
      <c r="I63" s="3" t="s">
        <v>17</v>
      </c>
      <c r="J63" s="3" t="s">
        <v>18</v>
      </c>
      <c r="K63" s="3" t="s">
        <v>147</v>
      </c>
      <c r="L63" s="3" t="s">
        <v>24</v>
      </c>
      <c r="M63" s="5">
        <v>950</v>
      </c>
      <c r="N63" s="34">
        <v>480</v>
      </c>
    </row>
    <row r="64" spans="1:14" ht="18" customHeight="1" x14ac:dyDescent="0.35">
      <c r="A64" s="27" t="s">
        <v>210</v>
      </c>
      <c r="B64" s="7" t="s">
        <v>211</v>
      </c>
      <c r="C64" s="7" t="str">
        <f>PROPER(TRIM(Table4[[#This Row],[Patient Name]]))</f>
        <v>Prakash Raja</v>
      </c>
      <c r="D64" s="6">
        <v>6</v>
      </c>
      <c r="E64" s="6" t="s">
        <v>772</v>
      </c>
      <c r="F64" s="6"/>
      <c r="G64" s="7" t="s">
        <v>16</v>
      </c>
      <c r="H64" s="8">
        <v>45058</v>
      </c>
      <c r="I64" s="7" t="s">
        <v>17</v>
      </c>
      <c r="J64" s="7" t="s">
        <v>18</v>
      </c>
      <c r="K64" s="7" t="s">
        <v>65</v>
      </c>
      <c r="L64" s="7" t="s">
        <v>24</v>
      </c>
      <c r="M64" s="9">
        <v>1050</v>
      </c>
      <c r="N64" s="35">
        <v>660</v>
      </c>
    </row>
    <row r="65" spans="1:14" ht="18" customHeight="1" x14ac:dyDescent="0.35">
      <c r="A65" s="26" t="s">
        <v>212</v>
      </c>
      <c r="B65" s="3" t="s">
        <v>213</v>
      </c>
      <c r="C65" s="3" t="str">
        <f>PROPER(TRIM(Table4[[#This Row],[Patient Name]]))</f>
        <v>Ramya Iyer</v>
      </c>
      <c r="D65" s="2">
        <v>34</v>
      </c>
      <c r="E65" s="2" t="s">
        <v>772</v>
      </c>
      <c r="F65" s="2"/>
      <c r="G65" s="3" t="s">
        <v>16</v>
      </c>
      <c r="H65" s="4">
        <v>45477</v>
      </c>
      <c r="I65" s="3" t="s">
        <v>28</v>
      </c>
      <c r="J65" s="3" t="s">
        <v>29</v>
      </c>
      <c r="K65" s="3" t="s">
        <v>174</v>
      </c>
      <c r="L65" s="3" t="s">
        <v>31</v>
      </c>
      <c r="M65" s="5">
        <v>400</v>
      </c>
      <c r="N65" s="34">
        <v>240</v>
      </c>
    </row>
    <row r="66" spans="1:14" ht="18" customHeight="1" x14ac:dyDescent="0.35">
      <c r="A66" s="27" t="s">
        <v>214</v>
      </c>
      <c r="B66" s="7" t="s">
        <v>215</v>
      </c>
      <c r="C66" s="7" t="str">
        <f>PROPER(TRIM(Table4[[#This Row],[Patient Name]]))</f>
        <v>Selvam Vel</v>
      </c>
      <c r="D66" s="6">
        <v>66</v>
      </c>
      <c r="E66" s="6" t="s">
        <v>773</v>
      </c>
      <c r="F66" s="6"/>
      <c r="G66" s="7" t="s">
        <v>35</v>
      </c>
      <c r="H66" s="8">
        <v>45592</v>
      </c>
      <c r="I66" s="7" t="s">
        <v>48</v>
      </c>
      <c r="J66" s="7" t="s">
        <v>49</v>
      </c>
      <c r="K66" s="7" t="s">
        <v>50</v>
      </c>
      <c r="L66" s="7" t="s">
        <v>51</v>
      </c>
      <c r="M66" s="9">
        <v>750</v>
      </c>
      <c r="N66" s="35">
        <v>380</v>
      </c>
    </row>
    <row r="67" spans="1:14" ht="18" customHeight="1" x14ac:dyDescent="0.35">
      <c r="A67" s="26" t="s">
        <v>216</v>
      </c>
      <c r="B67" s="3" t="s">
        <v>217</v>
      </c>
      <c r="C67" s="3" t="str">
        <f>PROPER(TRIM(Table4[[#This Row],[Patient Name]]))</f>
        <v>Thenmozhi Narayanan</v>
      </c>
      <c r="D67" s="2">
        <v>61</v>
      </c>
      <c r="E67" s="2" t="s">
        <v>772</v>
      </c>
      <c r="F67" s="2"/>
      <c r="G67" s="3" t="s">
        <v>69</v>
      </c>
      <c r="H67" s="4">
        <v>45063</v>
      </c>
      <c r="I67" s="3" t="s">
        <v>42</v>
      </c>
      <c r="J67" s="3" t="s">
        <v>70</v>
      </c>
      <c r="K67" s="3" t="s">
        <v>71</v>
      </c>
      <c r="L67" s="3" t="s">
        <v>129</v>
      </c>
      <c r="M67" s="5">
        <v>400</v>
      </c>
      <c r="N67" s="34">
        <v>200</v>
      </c>
    </row>
    <row r="68" spans="1:14" ht="18" customHeight="1" x14ac:dyDescent="0.35">
      <c r="A68" s="27" t="s">
        <v>218</v>
      </c>
      <c r="B68" s="7" t="s">
        <v>219</v>
      </c>
      <c r="C68" s="7" t="str">
        <f>PROPER(TRIM(Table4[[#This Row],[Patient Name]]))</f>
        <v>Uma Pandian</v>
      </c>
      <c r="D68" s="6">
        <v>8</v>
      </c>
      <c r="E68" s="6" t="s">
        <v>772</v>
      </c>
      <c r="F68" s="6"/>
      <c r="G68" s="7" t="s">
        <v>16</v>
      </c>
      <c r="H68" s="8">
        <v>45025</v>
      </c>
      <c r="I68" s="7" t="s">
        <v>48</v>
      </c>
      <c r="J68" s="7" t="s">
        <v>54</v>
      </c>
      <c r="K68" s="7" t="s">
        <v>151</v>
      </c>
      <c r="L68" s="7" t="s">
        <v>114</v>
      </c>
      <c r="M68" s="9">
        <v>550</v>
      </c>
      <c r="N68" s="35">
        <v>240</v>
      </c>
    </row>
    <row r="69" spans="1:14" ht="18" customHeight="1" x14ac:dyDescent="0.35">
      <c r="A69" s="26" t="s">
        <v>220</v>
      </c>
      <c r="B69" s="3" t="s">
        <v>221</v>
      </c>
      <c r="C69" s="3" t="str">
        <f>PROPER(TRIM(Table4[[#This Row],[Patient Name]]))</f>
        <v>Vijaya Iyer</v>
      </c>
      <c r="D69" s="2">
        <v>13</v>
      </c>
      <c r="E69" s="2" t="s">
        <v>772</v>
      </c>
      <c r="F69" s="2"/>
      <c r="G69" s="3" t="s">
        <v>16</v>
      </c>
      <c r="H69" s="4">
        <v>45288</v>
      </c>
      <c r="I69" s="3" t="s">
        <v>48</v>
      </c>
      <c r="J69" s="3" t="s">
        <v>54</v>
      </c>
      <c r="K69" s="3" t="s">
        <v>94</v>
      </c>
      <c r="L69" s="3" t="s">
        <v>95</v>
      </c>
      <c r="M69" s="5">
        <v>750</v>
      </c>
      <c r="N69" s="34">
        <v>350</v>
      </c>
    </row>
    <row r="70" spans="1:14" ht="18" customHeight="1" x14ac:dyDescent="0.35">
      <c r="A70" s="27" t="s">
        <v>222</v>
      </c>
      <c r="B70" s="7" t="s">
        <v>223</v>
      </c>
      <c r="C70" s="7" t="str">
        <f>PROPER(TRIM(Table4[[#This Row],[Patient Name]]))</f>
        <v>Anbu Rajan</v>
      </c>
      <c r="D70" s="6">
        <v>64</v>
      </c>
      <c r="E70" s="6" t="s">
        <v>772</v>
      </c>
      <c r="F70" s="6"/>
      <c r="G70" s="7" t="s">
        <v>80</v>
      </c>
      <c r="H70" s="8">
        <v>45446</v>
      </c>
      <c r="I70" s="7" t="s">
        <v>17</v>
      </c>
      <c r="J70" s="7" t="s">
        <v>64</v>
      </c>
      <c r="K70" s="7" t="s">
        <v>19</v>
      </c>
      <c r="L70" s="7" t="s">
        <v>24</v>
      </c>
      <c r="M70" s="9">
        <v>1000</v>
      </c>
      <c r="N70" s="35">
        <v>340</v>
      </c>
    </row>
    <row r="71" spans="1:14" ht="18" customHeight="1" x14ac:dyDescent="0.35">
      <c r="A71" s="26" t="s">
        <v>224</v>
      </c>
      <c r="B71" s="3" t="s">
        <v>225</v>
      </c>
      <c r="C71" s="3" t="str">
        <f>PROPER(TRIM(Table4[[#This Row],[Patient Name]]))</f>
        <v>Bala Mani</v>
      </c>
      <c r="D71" s="2">
        <v>9</v>
      </c>
      <c r="E71" s="2" t="s">
        <v>773</v>
      </c>
      <c r="F71" s="2"/>
      <c r="G71" s="3" t="s">
        <v>27</v>
      </c>
      <c r="H71" s="4">
        <v>45402</v>
      </c>
      <c r="I71" s="3" t="s">
        <v>17</v>
      </c>
      <c r="J71" s="3" t="s">
        <v>23</v>
      </c>
      <c r="K71" s="3" t="s">
        <v>154</v>
      </c>
      <c r="L71" s="3" t="s">
        <v>226</v>
      </c>
      <c r="M71" s="5">
        <v>1100</v>
      </c>
      <c r="N71" s="34">
        <v>520</v>
      </c>
    </row>
    <row r="72" spans="1:14" ht="18" customHeight="1" x14ac:dyDescent="0.35">
      <c r="A72" s="27" t="s">
        <v>227</v>
      </c>
      <c r="B72" s="7" t="s">
        <v>228</v>
      </c>
      <c r="C72" s="7" t="str">
        <f>PROPER(TRIM(Table4[[#This Row],[Patient Name]]))</f>
        <v>Chandra Iyer</v>
      </c>
      <c r="D72" s="6">
        <v>19</v>
      </c>
      <c r="E72" s="6" t="s">
        <v>772</v>
      </c>
      <c r="F72" s="6"/>
      <c r="G72" s="7" t="s">
        <v>16</v>
      </c>
      <c r="H72" s="8">
        <v>45006</v>
      </c>
      <c r="I72" s="7" t="s">
        <v>17</v>
      </c>
      <c r="J72" s="7" t="s">
        <v>18</v>
      </c>
      <c r="K72" s="7" t="s">
        <v>154</v>
      </c>
      <c r="L72" s="7" t="s">
        <v>24</v>
      </c>
      <c r="M72" s="9">
        <v>750</v>
      </c>
      <c r="N72" s="35">
        <v>550</v>
      </c>
    </row>
    <row r="73" spans="1:14" ht="18" customHeight="1" x14ac:dyDescent="0.35">
      <c r="A73" s="26" t="s">
        <v>229</v>
      </c>
      <c r="B73" s="3" t="s">
        <v>230</v>
      </c>
      <c r="C73" s="3" t="str">
        <f>PROPER(TRIM(Table4[[#This Row],[Patient Name]]))</f>
        <v>Durai Sharma</v>
      </c>
      <c r="D73" s="2">
        <v>6</v>
      </c>
      <c r="E73" s="2" t="s">
        <v>773</v>
      </c>
      <c r="F73" s="2"/>
      <c r="G73" s="3" t="s">
        <v>27</v>
      </c>
      <c r="H73" s="4">
        <v>45158</v>
      </c>
      <c r="I73" s="3" t="s">
        <v>42</v>
      </c>
      <c r="J73" s="3" t="s">
        <v>43</v>
      </c>
      <c r="K73" s="3" t="s">
        <v>65</v>
      </c>
      <c r="L73" s="3" t="s">
        <v>90</v>
      </c>
      <c r="M73" s="5">
        <v>400</v>
      </c>
      <c r="N73" s="34">
        <v>170</v>
      </c>
    </row>
    <row r="74" spans="1:14" ht="18" customHeight="1" x14ac:dyDescent="0.35">
      <c r="A74" s="27" t="s">
        <v>231</v>
      </c>
      <c r="B74" s="7" t="s">
        <v>232</v>
      </c>
      <c r="C74" s="7" t="str">
        <f>PROPER(TRIM(Table4[[#This Row],[Patient Name]]))</f>
        <v>Ezhil Nair</v>
      </c>
      <c r="D74" s="6">
        <v>72</v>
      </c>
      <c r="E74" s="6" t="s">
        <v>773</v>
      </c>
      <c r="F74" s="6"/>
      <c r="G74" s="7" t="s">
        <v>107</v>
      </c>
      <c r="H74" s="8">
        <v>45529</v>
      </c>
      <c r="I74" s="7" t="s">
        <v>42</v>
      </c>
      <c r="J74" s="7" t="s">
        <v>43</v>
      </c>
      <c r="K74" s="7" t="s">
        <v>44</v>
      </c>
      <c r="L74" s="7" t="s">
        <v>86</v>
      </c>
      <c r="M74" s="9">
        <v>350</v>
      </c>
      <c r="N74" s="35">
        <v>170</v>
      </c>
    </row>
    <row r="75" spans="1:14" ht="18" customHeight="1" x14ac:dyDescent="0.35">
      <c r="A75" s="26" t="s">
        <v>233</v>
      </c>
      <c r="B75" s="3" t="s">
        <v>234</v>
      </c>
      <c r="C75" s="3" t="str">
        <f>PROPER(TRIM(Table4[[#This Row],[Patient Name]]))</f>
        <v>Guna Kumar</v>
      </c>
      <c r="D75" s="2">
        <v>12</v>
      </c>
      <c r="E75" s="2" t="s">
        <v>772</v>
      </c>
      <c r="F75" s="2"/>
      <c r="G75" s="3" t="s">
        <v>80</v>
      </c>
      <c r="H75" s="4">
        <v>45174</v>
      </c>
      <c r="I75" s="3" t="s">
        <v>36</v>
      </c>
      <c r="J75" s="3" t="s">
        <v>75</v>
      </c>
      <c r="K75" s="3" t="s">
        <v>104</v>
      </c>
      <c r="L75" s="3" t="s">
        <v>133</v>
      </c>
      <c r="M75" s="5">
        <v>750</v>
      </c>
      <c r="N75" s="34">
        <v>400</v>
      </c>
    </row>
    <row r="76" spans="1:14" ht="18" customHeight="1" x14ac:dyDescent="0.35">
      <c r="A76" s="27" t="s">
        <v>235</v>
      </c>
      <c r="B76" s="7" t="s">
        <v>236</v>
      </c>
      <c r="C76" s="7" t="str">
        <f>PROPER(TRIM(Table4[[#This Row],[Patient Name]]))</f>
        <v>Hari Iyer</v>
      </c>
      <c r="D76" s="6">
        <v>10</v>
      </c>
      <c r="E76" s="6" t="s">
        <v>772</v>
      </c>
      <c r="F76" s="6"/>
      <c r="G76" s="7" t="s">
        <v>80</v>
      </c>
      <c r="H76" s="8">
        <v>45193</v>
      </c>
      <c r="I76" s="7" t="s">
        <v>42</v>
      </c>
      <c r="J76" s="7" t="s">
        <v>70</v>
      </c>
      <c r="K76" s="7" t="s">
        <v>136</v>
      </c>
      <c r="L76" s="7" t="s">
        <v>45</v>
      </c>
      <c r="M76" s="9">
        <v>500</v>
      </c>
      <c r="N76" s="35">
        <v>350</v>
      </c>
    </row>
    <row r="77" spans="1:14" ht="18" customHeight="1" x14ac:dyDescent="0.35">
      <c r="A77" s="26" t="s">
        <v>237</v>
      </c>
      <c r="B77" s="3" t="s">
        <v>238</v>
      </c>
      <c r="C77" s="3" t="str">
        <f>PROPER(TRIM(Table4[[#This Row],[Patient Name]]))</f>
        <v>Indu Chandran</v>
      </c>
      <c r="D77" s="2">
        <v>25</v>
      </c>
      <c r="E77" s="2" t="s">
        <v>773</v>
      </c>
      <c r="F77" s="2"/>
      <c r="G77" s="3" t="s">
        <v>35</v>
      </c>
      <c r="H77" s="4">
        <v>45023</v>
      </c>
      <c r="I77" s="3" t="s">
        <v>36</v>
      </c>
      <c r="J77" s="3" t="s">
        <v>75</v>
      </c>
      <c r="K77" s="3" t="s">
        <v>38</v>
      </c>
      <c r="L77" s="3" t="s">
        <v>189</v>
      </c>
      <c r="M77" s="5">
        <v>850</v>
      </c>
      <c r="N77" s="34">
        <v>500</v>
      </c>
    </row>
    <row r="78" spans="1:14" ht="18" customHeight="1" x14ac:dyDescent="0.35">
      <c r="A78" s="27" t="s">
        <v>239</v>
      </c>
      <c r="B78" s="7" t="s">
        <v>240</v>
      </c>
      <c r="C78" s="7" t="str">
        <f>PROPER(TRIM(Table4[[#This Row],[Patient Name]]))</f>
        <v>Jothi Mani</v>
      </c>
      <c r="D78" s="6">
        <v>77</v>
      </c>
      <c r="E78" s="6" t="s">
        <v>772</v>
      </c>
      <c r="F78" s="6"/>
      <c r="G78" s="7" t="s">
        <v>80</v>
      </c>
      <c r="H78" s="8">
        <v>45239</v>
      </c>
      <c r="I78" s="7" t="s">
        <v>17</v>
      </c>
      <c r="J78" s="7" t="s">
        <v>18</v>
      </c>
      <c r="K78" s="7" t="s">
        <v>65</v>
      </c>
      <c r="L78" s="7" t="s">
        <v>20</v>
      </c>
      <c r="M78" s="9">
        <v>850</v>
      </c>
      <c r="N78" s="35">
        <v>330</v>
      </c>
    </row>
    <row r="79" spans="1:14" ht="18" customHeight="1" x14ac:dyDescent="0.35">
      <c r="A79" s="26" t="s">
        <v>241</v>
      </c>
      <c r="B79" s="3" t="s">
        <v>242</v>
      </c>
      <c r="C79" s="3" t="str">
        <f>PROPER(TRIM(Table4[[#This Row],[Patient Name]]))</f>
        <v>Kamal Subramanian</v>
      </c>
      <c r="D79" s="2">
        <v>50</v>
      </c>
      <c r="E79" s="2" t="s">
        <v>772</v>
      </c>
      <c r="F79" s="2"/>
      <c r="G79" s="3" t="s">
        <v>27</v>
      </c>
      <c r="H79" s="4">
        <v>45498</v>
      </c>
      <c r="I79" s="3" t="s">
        <v>42</v>
      </c>
      <c r="J79" s="3" t="s">
        <v>43</v>
      </c>
      <c r="K79" s="3" t="s">
        <v>65</v>
      </c>
      <c r="L79" s="3" t="s">
        <v>90</v>
      </c>
      <c r="M79" s="5">
        <v>300</v>
      </c>
      <c r="N79" s="34">
        <v>170</v>
      </c>
    </row>
    <row r="80" spans="1:14" ht="18" customHeight="1" x14ac:dyDescent="0.35">
      <c r="A80" s="27" t="s">
        <v>243</v>
      </c>
      <c r="B80" s="7" t="s">
        <v>244</v>
      </c>
      <c r="C80" s="7" t="str">
        <f>PROPER(TRIM(Table4[[#This Row],[Patient Name]]))</f>
        <v>Lekha Reddy</v>
      </c>
      <c r="D80" s="6">
        <v>27</v>
      </c>
      <c r="E80" s="6" t="s">
        <v>773</v>
      </c>
      <c r="F80" s="6"/>
      <c r="G80" s="7" t="s">
        <v>16</v>
      </c>
      <c r="H80" s="8">
        <v>44952</v>
      </c>
      <c r="I80" s="7" t="s">
        <v>36</v>
      </c>
      <c r="J80" s="7" t="s">
        <v>75</v>
      </c>
      <c r="K80" s="7" t="s">
        <v>76</v>
      </c>
      <c r="L80" s="7" t="s">
        <v>189</v>
      </c>
      <c r="M80" s="9">
        <v>800</v>
      </c>
      <c r="N80" s="35">
        <v>360</v>
      </c>
    </row>
    <row r="81" spans="1:14" ht="18" customHeight="1" x14ac:dyDescent="0.35">
      <c r="A81" s="26" t="s">
        <v>245</v>
      </c>
      <c r="B81" s="3" t="s">
        <v>246</v>
      </c>
      <c r="C81" s="3" t="str">
        <f>PROPER(TRIM(Table4[[#This Row],[Patient Name]]))</f>
        <v>Malar Subramanian</v>
      </c>
      <c r="D81" s="2">
        <v>78</v>
      </c>
      <c r="E81" s="2" t="s">
        <v>773</v>
      </c>
      <c r="F81" s="2"/>
      <c r="G81" s="3" t="s">
        <v>107</v>
      </c>
      <c r="H81" s="4">
        <v>45568</v>
      </c>
      <c r="I81" s="3" t="s">
        <v>17</v>
      </c>
      <c r="J81" s="3" t="s">
        <v>64</v>
      </c>
      <c r="K81" s="3" t="s">
        <v>154</v>
      </c>
      <c r="L81" s="3" t="s">
        <v>24</v>
      </c>
      <c r="M81" s="5">
        <v>800</v>
      </c>
      <c r="N81" s="34">
        <v>650</v>
      </c>
    </row>
    <row r="82" spans="1:14" ht="18" customHeight="1" x14ac:dyDescent="0.35">
      <c r="A82" s="27" t="s">
        <v>247</v>
      </c>
      <c r="B82" s="7" t="s">
        <v>248</v>
      </c>
      <c r="C82" s="7" t="str">
        <f>PROPER(TRIM(Table4[[#This Row],[Patient Name]]))</f>
        <v>Naga Selvam</v>
      </c>
      <c r="D82" s="6">
        <v>7</v>
      </c>
      <c r="E82" s="6" t="s">
        <v>772</v>
      </c>
      <c r="F82" s="6"/>
      <c r="G82" s="7" t="s">
        <v>69</v>
      </c>
      <c r="H82" s="8">
        <v>45268</v>
      </c>
      <c r="I82" s="7" t="s">
        <v>28</v>
      </c>
      <c r="J82" s="7" t="s">
        <v>59</v>
      </c>
      <c r="K82" s="7" t="s">
        <v>30</v>
      </c>
      <c r="L82" s="7" t="s">
        <v>31</v>
      </c>
      <c r="M82" s="9">
        <v>700</v>
      </c>
      <c r="N82" s="35">
        <v>200</v>
      </c>
    </row>
    <row r="83" spans="1:14" ht="18" customHeight="1" x14ac:dyDescent="0.35">
      <c r="A83" s="26" t="s">
        <v>249</v>
      </c>
      <c r="B83" s="3" t="s">
        <v>250</v>
      </c>
      <c r="C83" s="3" t="str">
        <f>PROPER(TRIM(Table4[[#This Row],[Patient Name]]))</f>
        <v>Oviya Reddy</v>
      </c>
      <c r="D83" s="2">
        <v>52</v>
      </c>
      <c r="E83" s="2" t="s">
        <v>773</v>
      </c>
      <c r="F83" s="2"/>
      <c r="G83" s="3" t="s">
        <v>69</v>
      </c>
      <c r="H83" s="4">
        <v>45628</v>
      </c>
      <c r="I83" s="3" t="s">
        <v>42</v>
      </c>
      <c r="J83" s="3" t="s">
        <v>43</v>
      </c>
      <c r="K83" s="3" t="s">
        <v>110</v>
      </c>
      <c r="L83" s="3" t="s">
        <v>119</v>
      </c>
      <c r="M83" s="5">
        <v>400</v>
      </c>
      <c r="N83" s="34">
        <v>190</v>
      </c>
    </row>
    <row r="84" spans="1:14" ht="18" customHeight="1" x14ac:dyDescent="0.35">
      <c r="A84" s="27" t="s">
        <v>251</v>
      </c>
      <c r="B84" s="7" t="s">
        <v>252</v>
      </c>
      <c r="C84" s="7" t="str">
        <f>PROPER(TRIM(Table4[[#This Row],[Patient Name]]))</f>
        <v>Pari Pillai</v>
      </c>
      <c r="D84" s="6">
        <v>22</v>
      </c>
      <c r="E84" s="6" t="s">
        <v>772</v>
      </c>
      <c r="F84" s="6"/>
      <c r="G84" s="7" t="s">
        <v>80</v>
      </c>
      <c r="H84" s="8">
        <v>45438</v>
      </c>
      <c r="I84" s="7" t="s">
        <v>42</v>
      </c>
      <c r="J84" s="7" t="s">
        <v>70</v>
      </c>
      <c r="K84" s="7" t="s">
        <v>71</v>
      </c>
      <c r="L84" s="7" t="s">
        <v>129</v>
      </c>
      <c r="M84" s="9">
        <v>500</v>
      </c>
      <c r="N84" s="35">
        <v>350</v>
      </c>
    </row>
    <row r="85" spans="1:14" ht="18" customHeight="1" x14ac:dyDescent="0.35">
      <c r="A85" s="26" t="s">
        <v>253</v>
      </c>
      <c r="B85" s="3" t="s">
        <v>254</v>
      </c>
      <c r="C85" s="3" t="str">
        <f>PROPER(TRIM(Table4[[#This Row],[Patient Name]]))</f>
        <v>Raja Verma</v>
      </c>
      <c r="D85" s="2">
        <v>13</v>
      </c>
      <c r="E85" s="2" t="s">
        <v>772</v>
      </c>
      <c r="F85" s="2"/>
      <c r="G85" s="3" t="s">
        <v>35</v>
      </c>
      <c r="H85" s="4">
        <v>45179</v>
      </c>
      <c r="I85" s="3" t="s">
        <v>17</v>
      </c>
      <c r="J85" s="3" t="s">
        <v>64</v>
      </c>
      <c r="K85" s="3" t="s">
        <v>19</v>
      </c>
      <c r="L85" s="3" t="s">
        <v>20</v>
      </c>
      <c r="M85" s="5">
        <v>900</v>
      </c>
      <c r="N85" s="34">
        <v>630</v>
      </c>
    </row>
    <row r="86" spans="1:14" ht="18" customHeight="1" x14ac:dyDescent="0.35">
      <c r="A86" s="27" t="s">
        <v>255</v>
      </c>
      <c r="B86" s="7" t="s">
        <v>256</v>
      </c>
      <c r="C86" s="7" t="str">
        <f>PROPER(TRIM(Table4[[#This Row],[Patient Name]]))</f>
        <v>Suba Pandian</v>
      </c>
      <c r="D86" s="6">
        <v>33</v>
      </c>
      <c r="E86" s="6" t="s">
        <v>772</v>
      </c>
      <c r="F86" s="6"/>
      <c r="G86" s="7" t="s">
        <v>35</v>
      </c>
      <c r="H86" s="8">
        <v>45513</v>
      </c>
      <c r="I86" s="7" t="s">
        <v>48</v>
      </c>
      <c r="J86" s="7" t="s">
        <v>93</v>
      </c>
      <c r="K86" s="7" t="s">
        <v>257</v>
      </c>
      <c r="L86" s="7" t="s">
        <v>56</v>
      </c>
      <c r="M86" s="9">
        <v>550</v>
      </c>
      <c r="N86" s="35">
        <v>470</v>
      </c>
    </row>
    <row r="87" spans="1:14" ht="18" customHeight="1" x14ac:dyDescent="0.35">
      <c r="A87" s="26" t="s">
        <v>258</v>
      </c>
      <c r="B87" s="3" t="s">
        <v>259</v>
      </c>
      <c r="C87" s="3" t="str">
        <f>PROPER(TRIM(Table4[[#This Row],[Patient Name]]))</f>
        <v>Tamil Kumar</v>
      </c>
      <c r="D87" s="2">
        <v>70</v>
      </c>
      <c r="E87" s="2" t="s">
        <v>772</v>
      </c>
      <c r="F87" s="2"/>
      <c r="G87" s="3" t="s">
        <v>35</v>
      </c>
      <c r="H87" s="4">
        <v>45491</v>
      </c>
      <c r="I87" s="3" t="s">
        <v>42</v>
      </c>
      <c r="J87" s="3" t="s">
        <v>70</v>
      </c>
      <c r="K87" s="3" t="s">
        <v>110</v>
      </c>
      <c r="L87" s="3" t="s">
        <v>197</v>
      </c>
      <c r="M87" s="5">
        <v>450</v>
      </c>
      <c r="N87" s="34">
        <v>310</v>
      </c>
    </row>
    <row r="88" spans="1:14" ht="18" customHeight="1" x14ac:dyDescent="0.35">
      <c r="A88" s="27" t="s">
        <v>260</v>
      </c>
      <c r="B88" s="7" t="s">
        <v>261</v>
      </c>
      <c r="C88" s="7" t="str">
        <f>PROPER(TRIM(Table4[[#This Row],[Patient Name]]))</f>
        <v>Vani Murugan</v>
      </c>
      <c r="D88" s="6">
        <v>13</v>
      </c>
      <c r="E88" s="6" t="s">
        <v>772</v>
      </c>
      <c r="F88" s="6"/>
      <c r="G88" s="7" t="s">
        <v>80</v>
      </c>
      <c r="H88" s="8">
        <v>45479</v>
      </c>
      <c r="I88" s="7" t="s">
        <v>42</v>
      </c>
      <c r="J88" s="7" t="s">
        <v>70</v>
      </c>
      <c r="K88" s="7" t="s">
        <v>65</v>
      </c>
      <c r="L88" s="7" t="s">
        <v>197</v>
      </c>
      <c r="M88" s="9">
        <v>450</v>
      </c>
      <c r="N88" s="35">
        <v>280</v>
      </c>
    </row>
    <row r="89" spans="1:14" ht="18" customHeight="1" x14ac:dyDescent="0.35">
      <c r="A89" s="26" t="s">
        <v>262</v>
      </c>
      <c r="B89" s="3" t="s">
        <v>263</v>
      </c>
      <c r="C89" s="3" t="str">
        <f>PROPER(TRIM(Table4[[#This Row],[Patient Name]]))</f>
        <v>Yamuna Patel</v>
      </c>
      <c r="D89" s="2">
        <v>65</v>
      </c>
      <c r="E89" s="2" t="s">
        <v>772</v>
      </c>
      <c r="F89" s="2"/>
      <c r="G89" s="3" t="s">
        <v>27</v>
      </c>
      <c r="H89" s="4">
        <v>45491</v>
      </c>
      <c r="I89" s="3" t="s">
        <v>17</v>
      </c>
      <c r="J89" s="3" t="s">
        <v>64</v>
      </c>
      <c r="K89" s="3" t="s">
        <v>65</v>
      </c>
      <c r="L89" s="3" t="s">
        <v>148</v>
      </c>
      <c r="M89" s="5">
        <v>1150</v>
      </c>
      <c r="N89" s="34">
        <v>620</v>
      </c>
    </row>
    <row r="90" spans="1:14" ht="18" customHeight="1" x14ac:dyDescent="0.35">
      <c r="A90" s="27" t="s">
        <v>264</v>
      </c>
      <c r="B90" s="7" t="s">
        <v>265</v>
      </c>
      <c r="C90" s="7" t="str">
        <f>PROPER(TRIM(Table4[[#This Row],[Patient Name]]))</f>
        <v>Abinaya Pillai</v>
      </c>
      <c r="D90" s="6">
        <v>50</v>
      </c>
      <c r="E90" s="6" t="s">
        <v>772</v>
      </c>
      <c r="F90" s="6"/>
      <c r="G90" s="7" t="s">
        <v>16</v>
      </c>
      <c r="H90" s="8">
        <v>45427</v>
      </c>
      <c r="I90" s="7" t="s">
        <v>17</v>
      </c>
      <c r="J90" s="7" t="s">
        <v>23</v>
      </c>
      <c r="K90" s="7" t="s">
        <v>65</v>
      </c>
      <c r="L90" s="7" t="s">
        <v>148</v>
      </c>
      <c r="M90" s="9">
        <v>750</v>
      </c>
      <c r="N90" s="35">
        <v>900</v>
      </c>
    </row>
    <row r="91" spans="1:14" ht="18" customHeight="1" x14ac:dyDescent="0.35">
      <c r="A91" s="26" t="s">
        <v>266</v>
      </c>
      <c r="B91" s="3" t="s">
        <v>267</v>
      </c>
      <c r="C91" s="3" t="str">
        <f>PROPER(TRIM(Table4[[#This Row],[Patient Name]]))</f>
        <v>Boopathi Rajan</v>
      </c>
      <c r="D91" s="2">
        <v>44</v>
      </c>
      <c r="E91" s="2" t="s">
        <v>773</v>
      </c>
      <c r="F91" s="2"/>
      <c r="G91" s="3" t="s">
        <v>80</v>
      </c>
      <c r="H91" s="4">
        <v>45628</v>
      </c>
      <c r="I91" s="3" t="s">
        <v>17</v>
      </c>
      <c r="J91" s="3" t="s">
        <v>18</v>
      </c>
      <c r="K91" s="3" t="s">
        <v>19</v>
      </c>
      <c r="L91" s="3" t="s">
        <v>226</v>
      </c>
      <c r="M91" s="5">
        <v>850</v>
      </c>
      <c r="N91" s="34">
        <v>340</v>
      </c>
    </row>
    <row r="92" spans="1:14" ht="18" customHeight="1" x14ac:dyDescent="0.35">
      <c r="A92" s="27" t="s">
        <v>268</v>
      </c>
      <c r="B92" s="7" t="s">
        <v>269</v>
      </c>
      <c r="C92" s="7" t="str">
        <f>PROPER(TRIM(Table4[[#This Row],[Patient Name]]))</f>
        <v>Chelvi Murugan</v>
      </c>
      <c r="D92" s="6">
        <v>65</v>
      </c>
      <c r="E92" s="6" t="s">
        <v>773</v>
      </c>
      <c r="F92" s="6"/>
      <c r="G92" s="7" t="s">
        <v>16</v>
      </c>
      <c r="H92" s="8">
        <v>45227</v>
      </c>
      <c r="I92" s="7" t="s">
        <v>42</v>
      </c>
      <c r="J92" s="7" t="s">
        <v>43</v>
      </c>
      <c r="K92" s="7" t="s">
        <v>136</v>
      </c>
      <c r="L92" s="7" t="s">
        <v>72</v>
      </c>
      <c r="M92" s="9">
        <v>350</v>
      </c>
      <c r="N92" s="35">
        <v>340</v>
      </c>
    </row>
    <row r="93" spans="1:14" ht="18" customHeight="1" x14ac:dyDescent="0.35">
      <c r="A93" s="26" t="s">
        <v>270</v>
      </c>
      <c r="B93" s="3" t="s">
        <v>271</v>
      </c>
      <c r="C93" s="3" t="str">
        <f>PROPER(TRIM(Table4[[#This Row],[Patient Name]]))</f>
        <v>Deva Menon</v>
      </c>
      <c r="D93" s="2">
        <v>18</v>
      </c>
      <c r="E93" s="2" t="s">
        <v>773</v>
      </c>
      <c r="F93" s="2"/>
      <c r="G93" s="3" t="s">
        <v>107</v>
      </c>
      <c r="H93" s="4">
        <v>45223</v>
      </c>
      <c r="I93" s="3" t="s">
        <v>48</v>
      </c>
      <c r="J93" s="3" t="s">
        <v>49</v>
      </c>
      <c r="K93" s="3" t="s">
        <v>151</v>
      </c>
      <c r="L93" s="3" t="s">
        <v>141</v>
      </c>
      <c r="M93" s="5">
        <v>600</v>
      </c>
      <c r="N93" s="34">
        <v>350</v>
      </c>
    </row>
    <row r="94" spans="1:14" ht="18" customHeight="1" x14ac:dyDescent="0.35">
      <c r="A94" s="27" t="s">
        <v>272</v>
      </c>
      <c r="B94" s="7" t="s">
        <v>273</v>
      </c>
      <c r="C94" s="7" t="str">
        <f>PROPER(TRIM(Table4[[#This Row],[Patient Name]]))</f>
        <v>Elaya Sharma</v>
      </c>
      <c r="D94" s="6">
        <v>21</v>
      </c>
      <c r="E94" s="6" t="s">
        <v>772</v>
      </c>
      <c r="F94" s="6"/>
      <c r="G94" s="7" t="s">
        <v>16</v>
      </c>
      <c r="H94" s="8">
        <v>45058</v>
      </c>
      <c r="I94" s="7" t="s">
        <v>17</v>
      </c>
      <c r="J94" s="7" t="s">
        <v>18</v>
      </c>
      <c r="K94" s="7" t="s">
        <v>147</v>
      </c>
      <c r="L94" s="7" t="s">
        <v>226</v>
      </c>
      <c r="M94" s="9">
        <v>1000</v>
      </c>
      <c r="N94" s="35">
        <v>620</v>
      </c>
    </row>
    <row r="95" spans="1:14" ht="18" customHeight="1" x14ac:dyDescent="0.35">
      <c r="A95" s="26" t="s">
        <v>274</v>
      </c>
      <c r="B95" s="3" t="s">
        <v>275</v>
      </c>
      <c r="C95" s="3" t="str">
        <f>PROPER(TRIM(Table4[[#This Row],[Patient Name]]))</f>
        <v>Guru Selvam</v>
      </c>
      <c r="D95" s="2">
        <v>10</v>
      </c>
      <c r="E95" s="2" t="s">
        <v>773</v>
      </c>
      <c r="F95" s="2"/>
      <c r="G95" s="3" t="s">
        <v>16</v>
      </c>
      <c r="H95" s="4">
        <v>44996</v>
      </c>
      <c r="I95" s="3" t="s">
        <v>42</v>
      </c>
      <c r="J95" s="3" t="s">
        <v>43</v>
      </c>
      <c r="K95" s="3" t="s">
        <v>136</v>
      </c>
      <c r="L95" s="3" t="s">
        <v>197</v>
      </c>
      <c r="M95" s="5">
        <v>450</v>
      </c>
      <c r="N95" s="34">
        <v>100</v>
      </c>
    </row>
    <row r="96" spans="1:14" ht="18" customHeight="1" x14ac:dyDescent="0.35">
      <c r="A96" s="27" t="s">
        <v>276</v>
      </c>
      <c r="B96" s="7" t="s">
        <v>277</v>
      </c>
      <c r="C96" s="7" t="str">
        <f>PROPER(TRIM(Table4[[#This Row],[Patient Name]]))</f>
        <v>Haran Menon</v>
      </c>
      <c r="D96" s="6">
        <v>51</v>
      </c>
      <c r="E96" s="6" t="s">
        <v>772</v>
      </c>
      <c r="F96" s="6"/>
      <c r="G96" s="7" t="s">
        <v>27</v>
      </c>
      <c r="H96" s="8">
        <v>44969</v>
      </c>
      <c r="I96" s="7" t="s">
        <v>36</v>
      </c>
      <c r="J96" s="7" t="s">
        <v>81</v>
      </c>
      <c r="K96" s="7" t="s">
        <v>132</v>
      </c>
      <c r="L96" s="7" t="s">
        <v>77</v>
      </c>
      <c r="M96" s="9">
        <v>1000</v>
      </c>
      <c r="N96" s="35">
        <v>260</v>
      </c>
    </row>
    <row r="97" spans="1:14" ht="18" customHeight="1" x14ac:dyDescent="0.35">
      <c r="A97" s="26" t="s">
        <v>278</v>
      </c>
      <c r="B97" s="3" t="s">
        <v>279</v>
      </c>
      <c r="C97" s="3" t="str">
        <f>PROPER(TRIM(Table4[[#This Row],[Patient Name]]))</f>
        <v>Ilavarsi Narayanan</v>
      </c>
      <c r="D97" s="2">
        <v>55</v>
      </c>
      <c r="E97" s="2" t="s">
        <v>772</v>
      </c>
      <c r="F97" s="2"/>
      <c r="G97" s="3" t="s">
        <v>35</v>
      </c>
      <c r="H97" s="4">
        <v>45421</v>
      </c>
      <c r="I97" s="3" t="s">
        <v>42</v>
      </c>
      <c r="J97" s="3" t="s">
        <v>70</v>
      </c>
      <c r="K97" s="3" t="s">
        <v>136</v>
      </c>
      <c r="L97" s="3" t="s">
        <v>45</v>
      </c>
      <c r="M97" s="5">
        <v>300</v>
      </c>
      <c r="N97" s="34">
        <v>250</v>
      </c>
    </row>
    <row r="98" spans="1:14" ht="18" customHeight="1" x14ac:dyDescent="0.35">
      <c r="A98" s="27" t="s">
        <v>280</v>
      </c>
      <c r="B98" s="7" t="s">
        <v>281</v>
      </c>
      <c r="C98" s="7" t="str">
        <f>PROPER(TRIM(Table4[[#This Row],[Patient Name]]))</f>
        <v>Jeeva Singh</v>
      </c>
      <c r="D98" s="6">
        <v>59</v>
      </c>
      <c r="E98" s="6" t="s">
        <v>772</v>
      </c>
      <c r="F98" s="6"/>
      <c r="G98" s="7" t="s">
        <v>35</v>
      </c>
      <c r="H98" s="8">
        <v>44985</v>
      </c>
      <c r="I98" s="7" t="s">
        <v>17</v>
      </c>
      <c r="J98" s="7" t="s">
        <v>18</v>
      </c>
      <c r="K98" s="7" t="s">
        <v>65</v>
      </c>
      <c r="L98" s="7" t="s">
        <v>24</v>
      </c>
      <c r="M98" s="9">
        <v>1050</v>
      </c>
      <c r="N98" s="35">
        <v>400</v>
      </c>
    </row>
    <row r="99" spans="1:14" ht="18" customHeight="1" x14ac:dyDescent="0.35">
      <c r="A99" s="26" t="s">
        <v>282</v>
      </c>
      <c r="B99" s="3" t="s">
        <v>283</v>
      </c>
      <c r="C99" s="3" t="str">
        <f>PROPER(TRIM(Table4[[#This Row],[Patient Name]]))</f>
        <v>Kavi Balan</v>
      </c>
      <c r="D99" s="2">
        <v>59</v>
      </c>
      <c r="E99" s="2" t="s">
        <v>772</v>
      </c>
      <c r="F99" s="2"/>
      <c r="G99" s="3" t="s">
        <v>16</v>
      </c>
      <c r="H99" s="4">
        <v>45224</v>
      </c>
      <c r="I99" s="3" t="s">
        <v>17</v>
      </c>
      <c r="J99" s="3" t="s">
        <v>18</v>
      </c>
      <c r="K99" s="3" t="s">
        <v>19</v>
      </c>
      <c r="L99" s="3" t="s">
        <v>20</v>
      </c>
      <c r="M99" s="5">
        <v>1000</v>
      </c>
      <c r="N99" s="34">
        <v>580</v>
      </c>
    </row>
    <row r="100" spans="1:14" ht="18" customHeight="1" x14ac:dyDescent="0.35">
      <c r="A100" s="27" t="s">
        <v>284</v>
      </c>
      <c r="B100" s="7" t="s">
        <v>285</v>
      </c>
      <c r="C100" s="7" t="str">
        <f>PROPER(TRIM(Table4[[#This Row],[Patient Name]]))</f>
        <v>Aarav Murugan</v>
      </c>
      <c r="D100" s="6">
        <v>19</v>
      </c>
      <c r="E100" s="6" t="s">
        <v>772</v>
      </c>
      <c r="F100" s="6"/>
      <c r="G100" s="7" t="s">
        <v>16</v>
      </c>
      <c r="H100" s="8">
        <v>45294</v>
      </c>
      <c r="I100" s="7" t="s">
        <v>48</v>
      </c>
      <c r="J100" s="7" t="s">
        <v>54</v>
      </c>
      <c r="K100" s="7" t="s">
        <v>55</v>
      </c>
      <c r="L100" s="7" t="s">
        <v>51</v>
      </c>
      <c r="M100" s="9">
        <v>750</v>
      </c>
      <c r="N100" s="35">
        <v>260</v>
      </c>
    </row>
    <row r="101" spans="1:14" ht="18" customHeight="1" x14ac:dyDescent="0.35">
      <c r="A101" s="26" t="s">
        <v>286</v>
      </c>
      <c r="B101" s="3" t="s">
        <v>287</v>
      </c>
      <c r="C101" s="3" t="str">
        <f>PROPER(TRIM(Table4[[#This Row],[Patient Name]]))</f>
        <v>Bhavya Pillai</v>
      </c>
      <c r="D101" s="2">
        <v>53</v>
      </c>
      <c r="E101" s="2" t="s">
        <v>773</v>
      </c>
      <c r="F101" s="2"/>
      <c r="G101" s="3" t="s">
        <v>16</v>
      </c>
      <c r="H101" s="4">
        <v>45524</v>
      </c>
      <c r="I101" s="3" t="s">
        <v>17</v>
      </c>
      <c r="J101" s="3" t="s">
        <v>23</v>
      </c>
      <c r="K101" s="3" t="s">
        <v>192</v>
      </c>
      <c r="L101" s="3" t="s">
        <v>148</v>
      </c>
      <c r="M101" s="5">
        <v>1200</v>
      </c>
      <c r="N101" s="34">
        <v>350</v>
      </c>
    </row>
    <row r="102" spans="1:14" ht="18" customHeight="1" x14ac:dyDescent="0.35">
      <c r="A102" s="27" t="s">
        <v>288</v>
      </c>
      <c r="B102" s="7" t="s">
        <v>289</v>
      </c>
      <c r="C102" s="7" t="str">
        <f>PROPER(TRIM(Table4[[#This Row],[Patient Name]]))</f>
        <v>Chirag Krishnan</v>
      </c>
      <c r="D102" s="6">
        <v>42</v>
      </c>
      <c r="E102" s="6" t="s">
        <v>773</v>
      </c>
      <c r="F102" s="6"/>
      <c r="G102" s="7" t="s">
        <v>27</v>
      </c>
      <c r="H102" s="8">
        <v>45004</v>
      </c>
      <c r="I102" s="7" t="s">
        <v>42</v>
      </c>
      <c r="J102" s="7" t="s">
        <v>89</v>
      </c>
      <c r="K102" s="7" t="s">
        <v>71</v>
      </c>
      <c r="L102" s="7" t="s">
        <v>90</v>
      </c>
      <c r="M102" s="9">
        <v>400</v>
      </c>
      <c r="N102" s="35">
        <v>400</v>
      </c>
    </row>
    <row r="103" spans="1:14" ht="18" customHeight="1" x14ac:dyDescent="0.35">
      <c r="A103" s="26" t="s">
        <v>290</v>
      </c>
      <c r="B103" s="3" t="s">
        <v>291</v>
      </c>
      <c r="C103" s="3" t="str">
        <f>PROPER(TRIM(Table4[[#This Row],[Patient Name]]))</f>
        <v>Deepa Raja</v>
      </c>
      <c r="D103" s="2">
        <v>59</v>
      </c>
      <c r="E103" s="2" t="s">
        <v>772</v>
      </c>
      <c r="F103" s="2"/>
      <c r="G103" s="3" t="s">
        <v>16</v>
      </c>
      <c r="H103" s="4">
        <v>45567</v>
      </c>
      <c r="I103" s="3" t="s">
        <v>28</v>
      </c>
      <c r="J103" s="3" t="s">
        <v>29</v>
      </c>
      <c r="K103" s="3" t="s">
        <v>60</v>
      </c>
      <c r="L103" s="3" t="s">
        <v>61</v>
      </c>
      <c r="M103" s="5">
        <v>600</v>
      </c>
      <c r="N103" s="34">
        <v>190</v>
      </c>
    </row>
    <row r="104" spans="1:14" ht="18" customHeight="1" x14ac:dyDescent="0.35">
      <c r="A104" s="27" t="s">
        <v>292</v>
      </c>
      <c r="B104" s="7" t="s">
        <v>293</v>
      </c>
      <c r="C104" s="7" t="str">
        <f>PROPER(TRIM(Table4[[#This Row],[Patient Name]]))</f>
        <v>Elan Chandran</v>
      </c>
      <c r="D104" s="6">
        <v>72</v>
      </c>
      <c r="E104" s="6" t="s">
        <v>772</v>
      </c>
      <c r="F104" s="6"/>
      <c r="G104" s="7" t="s">
        <v>27</v>
      </c>
      <c r="H104" s="8">
        <v>45040</v>
      </c>
      <c r="I104" s="7" t="s">
        <v>28</v>
      </c>
      <c r="J104" s="7" t="s">
        <v>122</v>
      </c>
      <c r="K104" s="7" t="s">
        <v>30</v>
      </c>
      <c r="L104" s="7" t="s">
        <v>61</v>
      </c>
      <c r="M104" s="9">
        <v>550</v>
      </c>
      <c r="N104" s="35">
        <v>90</v>
      </c>
    </row>
    <row r="105" spans="1:14" ht="18" customHeight="1" x14ac:dyDescent="0.35">
      <c r="A105" s="26" t="s">
        <v>294</v>
      </c>
      <c r="B105" s="3" t="s">
        <v>295</v>
      </c>
      <c r="C105" s="3" t="str">
        <f>PROPER(TRIM(Table4[[#This Row],[Patient Name]]))</f>
        <v>Fatima Sharma</v>
      </c>
      <c r="D105" s="2">
        <v>10</v>
      </c>
      <c r="E105" s="2" t="s">
        <v>773</v>
      </c>
      <c r="F105" s="2"/>
      <c r="G105" s="3" t="s">
        <v>16</v>
      </c>
      <c r="H105" s="4">
        <v>45188</v>
      </c>
      <c r="I105" s="3" t="s">
        <v>48</v>
      </c>
      <c r="J105" s="3" t="s">
        <v>93</v>
      </c>
      <c r="K105" s="3" t="s">
        <v>50</v>
      </c>
      <c r="L105" s="3" t="s">
        <v>56</v>
      </c>
      <c r="M105" s="5">
        <v>750</v>
      </c>
      <c r="N105" s="34">
        <v>450</v>
      </c>
    </row>
    <row r="106" spans="1:14" ht="18" customHeight="1" x14ac:dyDescent="0.35">
      <c r="A106" s="27" t="s">
        <v>296</v>
      </c>
      <c r="B106" s="7" t="s">
        <v>297</v>
      </c>
      <c r="C106" s="7" t="str">
        <f>PROPER(TRIM(Table4[[#This Row],[Patient Name]]))</f>
        <v>Ganesh Pillai</v>
      </c>
      <c r="D106" s="6">
        <v>29</v>
      </c>
      <c r="E106" s="6" t="s">
        <v>773</v>
      </c>
      <c r="F106" s="6"/>
      <c r="G106" s="7" t="s">
        <v>35</v>
      </c>
      <c r="H106" s="8">
        <v>45163</v>
      </c>
      <c r="I106" s="7" t="s">
        <v>28</v>
      </c>
      <c r="J106" s="7" t="s">
        <v>122</v>
      </c>
      <c r="K106" s="7" t="s">
        <v>123</v>
      </c>
      <c r="L106" s="7" t="s">
        <v>298</v>
      </c>
      <c r="M106" s="9">
        <v>650</v>
      </c>
      <c r="N106" s="35">
        <v>140</v>
      </c>
    </row>
    <row r="107" spans="1:14" ht="18" customHeight="1" x14ac:dyDescent="0.35">
      <c r="A107" s="26" t="s">
        <v>299</v>
      </c>
      <c r="B107" s="3" t="s">
        <v>300</v>
      </c>
      <c r="C107" s="3" t="str">
        <f>PROPER(TRIM(Table4[[#This Row],[Patient Name]]))</f>
        <v>Heena Vel</v>
      </c>
      <c r="D107" s="2">
        <v>74</v>
      </c>
      <c r="E107" s="2" t="s">
        <v>772</v>
      </c>
      <c r="F107" s="2"/>
      <c r="G107" s="3" t="s">
        <v>35</v>
      </c>
      <c r="H107" s="4">
        <v>45589</v>
      </c>
      <c r="I107" s="3" t="s">
        <v>48</v>
      </c>
      <c r="J107" s="3" t="s">
        <v>54</v>
      </c>
      <c r="K107" s="3" t="s">
        <v>94</v>
      </c>
      <c r="L107" s="3" t="s">
        <v>51</v>
      </c>
      <c r="M107" s="5">
        <v>750</v>
      </c>
      <c r="N107" s="34">
        <v>300</v>
      </c>
    </row>
    <row r="108" spans="1:14" ht="18" customHeight="1" x14ac:dyDescent="0.35">
      <c r="A108" s="27" t="s">
        <v>301</v>
      </c>
      <c r="B108" s="7" t="s">
        <v>302</v>
      </c>
      <c r="C108" s="7" t="str">
        <f>PROPER(TRIM(Table4[[#This Row],[Patient Name]]))</f>
        <v>Ishaan Raja</v>
      </c>
      <c r="D108" s="6">
        <v>29</v>
      </c>
      <c r="E108" s="6" t="s">
        <v>773</v>
      </c>
      <c r="F108" s="6"/>
      <c r="G108" s="7" t="s">
        <v>16</v>
      </c>
      <c r="H108" s="8">
        <v>44967</v>
      </c>
      <c r="I108" s="7" t="s">
        <v>42</v>
      </c>
      <c r="J108" s="7" t="s">
        <v>89</v>
      </c>
      <c r="K108" s="7" t="s">
        <v>85</v>
      </c>
      <c r="L108" s="7" t="s">
        <v>90</v>
      </c>
      <c r="M108" s="9">
        <v>350</v>
      </c>
      <c r="N108" s="35">
        <v>330</v>
      </c>
    </row>
    <row r="109" spans="1:14" ht="18" customHeight="1" x14ac:dyDescent="0.35">
      <c r="A109" s="26" t="s">
        <v>303</v>
      </c>
      <c r="B109" s="3" t="s">
        <v>304</v>
      </c>
      <c r="C109" s="3" t="str">
        <f>PROPER(TRIM(Table4[[#This Row],[Patient Name]]))</f>
        <v>Jasmine Pandian</v>
      </c>
      <c r="D109" s="2">
        <v>55</v>
      </c>
      <c r="E109" s="2" t="s">
        <v>772</v>
      </c>
      <c r="F109" s="2"/>
      <c r="G109" s="3" t="s">
        <v>35</v>
      </c>
      <c r="H109" s="4">
        <v>45524</v>
      </c>
      <c r="I109" s="3" t="s">
        <v>17</v>
      </c>
      <c r="J109" s="3" t="s">
        <v>18</v>
      </c>
      <c r="K109" s="3" t="s">
        <v>192</v>
      </c>
      <c r="L109" s="3" t="s">
        <v>20</v>
      </c>
      <c r="M109" s="5">
        <v>950</v>
      </c>
      <c r="N109" s="34">
        <v>900</v>
      </c>
    </row>
    <row r="110" spans="1:14" ht="18" customHeight="1" x14ac:dyDescent="0.35">
      <c r="A110" s="27" t="s">
        <v>305</v>
      </c>
      <c r="B110" s="7" t="s">
        <v>306</v>
      </c>
      <c r="C110" s="7" t="str">
        <f>PROPER(TRIM(Table4[[#This Row],[Patient Name]]))</f>
        <v>Karthik Vel</v>
      </c>
      <c r="D110" s="6">
        <v>31</v>
      </c>
      <c r="E110" s="6" t="s">
        <v>772</v>
      </c>
      <c r="F110" s="6"/>
      <c r="G110" s="7" t="s">
        <v>16</v>
      </c>
      <c r="H110" s="8">
        <v>45459</v>
      </c>
      <c r="I110" s="7" t="s">
        <v>36</v>
      </c>
      <c r="J110" s="7" t="s">
        <v>37</v>
      </c>
      <c r="K110" s="7" t="s">
        <v>104</v>
      </c>
      <c r="L110" s="7" t="s">
        <v>77</v>
      </c>
      <c r="M110" s="9">
        <v>950</v>
      </c>
      <c r="N110" s="35">
        <v>330</v>
      </c>
    </row>
    <row r="111" spans="1:14" ht="18" customHeight="1" x14ac:dyDescent="0.35">
      <c r="A111" s="26" t="s">
        <v>307</v>
      </c>
      <c r="B111" s="3" t="s">
        <v>308</v>
      </c>
      <c r="C111" s="3" t="str">
        <f>PROPER(TRIM(Table4[[#This Row],[Patient Name]]))</f>
        <v>Lavanya Pillai</v>
      </c>
      <c r="D111" s="2">
        <v>54</v>
      </c>
      <c r="E111" s="2" t="s">
        <v>772</v>
      </c>
      <c r="F111" s="2"/>
      <c r="G111" s="3" t="s">
        <v>16</v>
      </c>
      <c r="H111" s="4">
        <v>45510</v>
      </c>
      <c r="I111" s="3" t="s">
        <v>48</v>
      </c>
      <c r="J111" s="3" t="s">
        <v>49</v>
      </c>
      <c r="K111" s="3" t="s">
        <v>55</v>
      </c>
      <c r="L111" s="3" t="s">
        <v>95</v>
      </c>
      <c r="M111" s="5">
        <v>850</v>
      </c>
      <c r="N111" s="34">
        <v>470</v>
      </c>
    </row>
    <row r="112" spans="1:14" ht="18" customHeight="1" x14ac:dyDescent="0.35">
      <c r="A112" s="27" t="s">
        <v>309</v>
      </c>
      <c r="B112" s="7" t="s">
        <v>310</v>
      </c>
      <c r="C112" s="7" t="str">
        <f>PROPER(TRIM(Table4[[#This Row],[Patient Name]]))</f>
        <v>Mohan Pandian</v>
      </c>
      <c r="D112" s="6">
        <v>68</v>
      </c>
      <c r="E112" s="6" t="s">
        <v>772</v>
      </c>
      <c r="F112" s="6"/>
      <c r="G112" s="7" t="s">
        <v>27</v>
      </c>
      <c r="H112" s="8">
        <v>45082</v>
      </c>
      <c r="I112" s="7" t="s">
        <v>17</v>
      </c>
      <c r="J112" s="7" t="s">
        <v>18</v>
      </c>
      <c r="K112" s="7" t="s">
        <v>19</v>
      </c>
      <c r="L112" s="7" t="s">
        <v>24</v>
      </c>
      <c r="M112" s="9">
        <v>850</v>
      </c>
      <c r="N112" s="35">
        <v>420</v>
      </c>
    </row>
    <row r="113" spans="1:14" ht="18" customHeight="1" x14ac:dyDescent="0.35">
      <c r="A113" s="26" t="s">
        <v>311</v>
      </c>
      <c r="B113" s="3" t="s">
        <v>312</v>
      </c>
      <c r="C113" s="3" t="str">
        <f>PROPER(TRIM(Table4[[#This Row],[Patient Name]]))</f>
        <v>Nisha Subramanian</v>
      </c>
      <c r="D113" s="2">
        <v>41</v>
      </c>
      <c r="E113" s="2" t="s">
        <v>773</v>
      </c>
      <c r="F113" s="2"/>
      <c r="G113" s="3" t="s">
        <v>107</v>
      </c>
      <c r="H113" s="4">
        <v>45237</v>
      </c>
      <c r="I113" s="3" t="s">
        <v>17</v>
      </c>
      <c r="J113" s="3" t="s">
        <v>23</v>
      </c>
      <c r="K113" s="3" t="s">
        <v>19</v>
      </c>
      <c r="L113" s="3" t="s">
        <v>20</v>
      </c>
      <c r="M113" s="5">
        <v>750</v>
      </c>
      <c r="N113" s="34">
        <v>890</v>
      </c>
    </row>
    <row r="114" spans="1:14" ht="18" customHeight="1" x14ac:dyDescent="0.35">
      <c r="A114" s="27" t="s">
        <v>313</v>
      </c>
      <c r="B114" s="7" t="s">
        <v>314</v>
      </c>
      <c r="C114" s="7" t="str">
        <f>PROPER(TRIM(Table4[[#This Row],[Patient Name]]))</f>
        <v>Omkar Nair</v>
      </c>
      <c r="D114" s="6">
        <v>4</v>
      </c>
      <c r="E114" s="6" t="s">
        <v>773</v>
      </c>
      <c r="F114" s="6"/>
      <c r="G114" s="7" t="s">
        <v>69</v>
      </c>
      <c r="H114" s="8">
        <v>44984</v>
      </c>
      <c r="I114" s="7" t="s">
        <v>17</v>
      </c>
      <c r="J114" s="7" t="s">
        <v>18</v>
      </c>
      <c r="K114" s="7" t="s">
        <v>147</v>
      </c>
      <c r="L114" s="7" t="s">
        <v>226</v>
      </c>
      <c r="M114" s="9">
        <v>900</v>
      </c>
      <c r="N114" s="35">
        <v>370</v>
      </c>
    </row>
    <row r="115" spans="1:14" ht="18" customHeight="1" x14ac:dyDescent="0.35">
      <c r="A115" s="26" t="s">
        <v>315</v>
      </c>
      <c r="B115" s="3" t="s">
        <v>316</v>
      </c>
      <c r="C115" s="3" t="str">
        <f>PROPER(TRIM(Table4[[#This Row],[Patient Name]]))</f>
        <v>Preethi Nair</v>
      </c>
      <c r="D115" s="2">
        <v>53</v>
      </c>
      <c r="E115" s="2" t="s">
        <v>773</v>
      </c>
      <c r="F115" s="2"/>
      <c r="G115" s="3" t="s">
        <v>80</v>
      </c>
      <c r="H115" s="4">
        <v>45114</v>
      </c>
      <c r="I115" s="3" t="s">
        <v>36</v>
      </c>
      <c r="J115" s="3" t="s">
        <v>75</v>
      </c>
      <c r="K115" s="3" t="s">
        <v>76</v>
      </c>
      <c r="L115" s="3" t="s">
        <v>133</v>
      </c>
      <c r="M115" s="5">
        <v>900</v>
      </c>
      <c r="N115" s="34">
        <v>540</v>
      </c>
    </row>
    <row r="116" spans="1:14" ht="18" customHeight="1" x14ac:dyDescent="0.35">
      <c r="A116" s="27" t="s">
        <v>317</v>
      </c>
      <c r="B116" s="7" t="s">
        <v>318</v>
      </c>
      <c r="C116" s="7" t="str">
        <f>PROPER(TRIM(Table4[[#This Row],[Patient Name]]))</f>
        <v>Qasim Nair</v>
      </c>
      <c r="D116" s="6">
        <v>25</v>
      </c>
      <c r="E116" s="6" t="s">
        <v>773</v>
      </c>
      <c r="F116" s="6"/>
      <c r="G116" s="7" t="s">
        <v>80</v>
      </c>
      <c r="H116" s="8">
        <v>45323</v>
      </c>
      <c r="I116" s="7" t="s">
        <v>36</v>
      </c>
      <c r="J116" s="7" t="s">
        <v>75</v>
      </c>
      <c r="K116" s="7" t="s">
        <v>76</v>
      </c>
      <c r="L116" s="7" t="s">
        <v>133</v>
      </c>
      <c r="M116" s="9">
        <v>650</v>
      </c>
      <c r="N116" s="35">
        <v>500</v>
      </c>
    </row>
    <row r="117" spans="1:14" ht="18" customHeight="1" x14ac:dyDescent="0.35">
      <c r="A117" s="26" t="s">
        <v>319</v>
      </c>
      <c r="B117" s="3" t="s">
        <v>320</v>
      </c>
      <c r="C117" s="3" t="str">
        <f>PROPER(TRIM(Table4[[#This Row],[Patient Name]]))</f>
        <v>Rekha Pillai</v>
      </c>
      <c r="D117" s="2">
        <v>43</v>
      </c>
      <c r="E117" s="2" t="s">
        <v>773</v>
      </c>
      <c r="F117" s="2"/>
      <c r="G117" s="3" t="s">
        <v>27</v>
      </c>
      <c r="H117" s="4">
        <v>44975</v>
      </c>
      <c r="I117" s="3" t="s">
        <v>36</v>
      </c>
      <c r="J117" s="3" t="s">
        <v>75</v>
      </c>
      <c r="K117" s="3" t="s">
        <v>76</v>
      </c>
      <c r="L117" s="3" t="s">
        <v>82</v>
      </c>
      <c r="M117" s="5">
        <v>850</v>
      </c>
      <c r="N117" s="34">
        <v>310</v>
      </c>
    </row>
    <row r="118" spans="1:14" ht="18" customHeight="1" x14ac:dyDescent="0.35">
      <c r="A118" s="27" t="s">
        <v>321</v>
      </c>
      <c r="B118" s="7" t="s">
        <v>322</v>
      </c>
      <c r="C118" s="7" t="str">
        <f>PROPER(TRIM(Table4[[#This Row],[Patient Name]]))</f>
        <v>Sanjay Verma</v>
      </c>
      <c r="D118" s="6">
        <v>65</v>
      </c>
      <c r="E118" s="6" t="s">
        <v>772</v>
      </c>
      <c r="F118" s="6"/>
      <c r="G118" s="7" t="s">
        <v>69</v>
      </c>
      <c r="H118" s="8">
        <v>45294</v>
      </c>
      <c r="I118" s="7" t="s">
        <v>42</v>
      </c>
      <c r="J118" s="7" t="s">
        <v>70</v>
      </c>
      <c r="K118" s="7" t="s">
        <v>110</v>
      </c>
      <c r="L118" s="7" t="s">
        <v>197</v>
      </c>
      <c r="M118" s="9">
        <v>450</v>
      </c>
      <c r="N118" s="35">
        <v>130</v>
      </c>
    </row>
    <row r="119" spans="1:14" ht="18" customHeight="1" x14ac:dyDescent="0.35">
      <c r="A119" s="26" t="s">
        <v>323</v>
      </c>
      <c r="B119" s="3" t="s">
        <v>324</v>
      </c>
      <c r="C119" s="3" t="str">
        <f>PROPER(TRIM(Table4[[#This Row],[Patient Name]]))</f>
        <v>Tanya Iyer</v>
      </c>
      <c r="D119" s="2">
        <v>49</v>
      </c>
      <c r="E119" s="2" t="s">
        <v>773</v>
      </c>
      <c r="F119" s="2"/>
      <c r="G119" s="3" t="s">
        <v>69</v>
      </c>
      <c r="H119" s="4">
        <v>44974</v>
      </c>
      <c r="I119" s="3" t="s">
        <v>42</v>
      </c>
      <c r="J119" s="3" t="s">
        <v>70</v>
      </c>
      <c r="K119" s="3" t="s">
        <v>110</v>
      </c>
      <c r="L119" s="3" t="s">
        <v>129</v>
      </c>
      <c r="M119" s="5">
        <v>450</v>
      </c>
      <c r="N119" s="34">
        <v>170</v>
      </c>
    </row>
    <row r="120" spans="1:14" ht="18" customHeight="1" x14ac:dyDescent="0.35">
      <c r="A120" s="27" t="s">
        <v>325</v>
      </c>
      <c r="B120" s="7" t="s">
        <v>326</v>
      </c>
      <c r="C120" s="7" t="str">
        <f>PROPER(TRIM(Table4[[#This Row],[Patient Name]]))</f>
        <v>Uday Iyer</v>
      </c>
      <c r="D120" s="6">
        <v>4</v>
      </c>
      <c r="E120" s="6" t="s">
        <v>773</v>
      </c>
      <c r="F120" s="6"/>
      <c r="G120" s="7" t="s">
        <v>80</v>
      </c>
      <c r="H120" s="8">
        <v>45248</v>
      </c>
      <c r="I120" s="7" t="s">
        <v>42</v>
      </c>
      <c r="J120" s="7" t="s">
        <v>70</v>
      </c>
      <c r="K120" s="7" t="s">
        <v>110</v>
      </c>
      <c r="L120" s="7" t="s">
        <v>119</v>
      </c>
      <c r="M120" s="9">
        <v>400</v>
      </c>
      <c r="N120" s="35">
        <v>240</v>
      </c>
    </row>
    <row r="121" spans="1:14" ht="18" customHeight="1" x14ac:dyDescent="0.35">
      <c r="A121" s="26" t="s">
        <v>327</v>
      </c>
      <c r="B121" s="3" t="s">
        <v>328</v>
      </c>
      <c r="C121" s="3" t="str">
        <f>PROPER(TRIM(Table4[[#This Row],[Patient Name]]))</f>
        <v>Vimala Subramanian</v>
      </c>
      <c r="D121" s="2">
        <v>62</v>
      </c>
      <c r="E121" s="2" t="s">
        <v>773</v>
      </c>
      <c r="F121" s="2"/>
      <c r="G121" s="3" t="s">
        <v>16</v>
      </c>
      <c r="H121" s="4">
        <v>45638</v>
      </c>
      <c r="I121" s="3" t="s">
        <v>48</v>
      </c>
      <c r="J121" s="3" t="s">
        <v>49</v>
      </c>
      <c r="K121" s="3" t="s">
        <v>50</v>
      </c>
      <c r="L121" s="3" t="s">
        <v>56</v>
      </c>
      <c r="M121" s="5">
        <v>650</v>
      </c>
      <c r="N121" s="34">
        <v>440</v>
      </c>
    </row>
    <row r="122" spans="1:14" ht="18" customHeight="1" x14ac:dyDescent="0.35">
      <c r="A122" s="27" t="s">
        <v>329</v>
      </c>
      <c r="B122" s="7" t="s">
        <v>330</v>
      </c>
      <c r="C122" s="7" t="str">
        <f>PROPER(TRIM(Table4[[#This Row],[Patient Name]]))</f>
        <v>Wasim Pillai</v>
      </c>
      <c r="D122" s="6">
        <v>11</v>
      </c>
      <c r="E122" s="6" t="s">
        <v>772</v>
      </c>
      <c r="F122" s="6"/>
      <c r="G122" s="7" t="s">
        <v>69</v>
      </c>
      <c r="H122" s="8">
        <v>45576</v>
      </c>
      <c r="I122" s="7" t="s">
        <v>36</v>
      </c>
      <c r="J122" s="7" t="s">
        <v>37</v>
      </c>
      <c r="K122" s="7" t="s">
        <v>76</v>
      </c>
      <c r="L122" s="7" t="s">
        <v>133</v>
      </c>
      <c r="M122" s="9">
        <v>700</v>
      </c>
      <c r="N122" s="35">
        <v>390</v>
      </c>
    </row>
    <row r="123" spans="1:14" ht="18" customHeight="1" x14ac:dyDescent="0.35">
      <c r="A123" s="26" t="s">
        <v>331</v>
      </c>
      <c r="B123" s="3" t="s">
        <v>332</v>
      </c>
      <c r="C123" s="3" t="str">
        <f>PROPER(TRIM(Table4[[#This Row],[Patient Name]]))</f>
        <v>Xena Menon</v>
      </c>
      <c r="D123" s="2">
        <v>13</v>
      </c>
      <c r="E123" s="2" t="s">
        <v>772</v>
      </c>
      <c r="F123" s="2"/>
      <c r="G123" s="3" t="s">
        <v>16</v>
      </c>
      <c r="H123" s="4">
        <v>45243</v>
      </c>
      <c r="I123" s="3" t="s">
        <v>28</v>
      </c>
      <c r="J123" s="3" t="s">
        <v>29</v>
      </c>
      <c r="K123" s="3" t="s">
        <v>174</v>
      </c>
      <c r="L123" s="3" t="s">
        <v>31</v>
      </c>
      <c r="M123" s="5">
        <v>550</v>
      </c>
      <c r="N123" s="34">
        <v>200</v>
      </c>
    </row>
    <row r="124" spans="1:14" ht="18" customHeight="1" x14ac:dyDescent="0.35">
      <c r="A124" s="27" t="s">
        <v>333</v>
      </c>
      <c r="B124" s="7" t="s">
        <v>334</v>
      </c>
      <c r="C124" s="7" t="str">
        <f>PROPER(TRIM(Table4[[#This Row],[Patient Name]]))</f>
        <v>Yogesh Balan</v>
      </c>
      <c r="D124" s="6">
        <v>20</v>
      </c>
      <c r="E124" s="6" t="s">
        <v>772</v>
      </c>
      <c r="F124" s="6"/>
      <c r="G124" s="7" t="s">
        <v>35</v>
      </c>
      <c r="H124" s="8">
        <v>45637</v>
      </c>
      <c r="I124" s="7" t="s">
        <v>42</v>
      </c>
      <c r="J124" s="7" t="s">
        <v>43</v>
      </c>
      <c r="K124" s="7" t="s">
        <v>85</v>
      </c>
      <c r="L124" s="7" t="s">
        <v>72</v>
      </c>
      <c r="M124" s="9">
        <v>450</v>
      </c>
      <c r="N124" s="35">
        <v>290</v>
      </c>
    </row>
    <row r="125" spans="1:14" ht="18" customHeight="1" x14ac:dyDescent="0.35">
      <c r="A125" s="26" t="s">
        <v>335</v>
      </c>
      <c r="B125" s="3" t="s">
        <v>336</v>
      </c>
      <c r="C125" s="3" t="str">
        <f>PROPER(TRIM(Table4[[#This Row],[Patient Name]]))</f>
        <v>Zara Patel</v>
      </c>
      <c r="D125" s="2">
        <v>21</v>
      </c>
      <c r="E125" s="2" t="s">
        <v>773</v>
      </c>
      <c r="F125" s="2"/>
      <c r="G125" s="3" t="s">
        <v>35</v>
      </c>
      <c r="H125" s="4">
        <v>45124</v>
      </c>
      <c r="I125" s="3" t="s">
        <v>36</v>
      </c>
      <c r="J125" s="3" t="s">
        <v>81</v>
      </c>
      <c r="K125" s="3" t="s">
        <v>38</v>
      </c>
      <c r="L125" s="3" t="s">
        <v>39</v>
      </c>
      <c r="M125" s="5">
        <v>800</v>
      </c>
      <c r="N125" s="34">
        <v>630</v>
      </c>
    </row>
    <row r="126" spans="1:14" ht="18" customHeight="1" x14ac:dyDescent="0.35">
      <c r="A126" s="27" t="s">
        <v>337</v>
      </c>
      <c r="B126" s="7" t="s">
        <v>338</v>
      </c>
      <c r="C126" s="7" t="str">
        <f>PROPER(TRIM(Table4[[#This Row],[Patient Name]]))</f>
        <v>Arjun Chandran</v>
      </c>
      <c r="D126" s="6">
        <v>34</v>
      </c>
      <c r="E126" s="6" t="s">
        <v>773</v>
      </c>
      <c r="F126" s="6"/>
      <c r="G126" s="7" t="s">
        <v>80</v>
      </c>
      <c r="H126" s="8">
        <v>45155</v>
      </c>
      <c r="I126" s="7" t="s">
        <v>48</v>
      </c>
      <c r="J126" s="7" t="s">
        <v>54</v>
      </c>
      <c r="K126" s="7" t="s">
        <v>151</v>
      </c>
      <c r="L126" s="7" t="s">
        <v>141</v>
      </c>
      <c r="M126" s="9">
        <v>750</v>
      </c>
      <c r="N126" s="35">
        <v>310</v>
      </c>
    </row>
    <row r="127" spans="1:14" ht="18" customHeight="1" x14ac:dyDescent="0.35">
      <c r="A127" s="26" t="s">
        <v>339</v>
      </c>
      <c r="B127" s="3" t="s">
        <v>340</v>
      </c>
      <c r="C127" s="3" t="str">
        <f>PROPER(TRIM(Table4[[#This Row],[Patient Name]]))</f>
        <v>Bhanu Rao</v>
      </c>
      <c r="D127" s="2">
        <v>18</v>
      </c>
      <c r="E127" s="2" t="s">
        <v>772</v>
      </c>
      <c r="F127" s="2"/>
      <c r="G127" s="3" t="s">
        <v>16</v>
      </c>
      <c r="H127" s="4">
        <v>45078</v>
      </c>
      <c r="I127" s="3" t="s">
        <v>17</v>
      </c>
      <c r="J127" s="3" t="s">
        <v>64</v>
      </c>
      <c r="K127" s="3" t="s">
        <v>65</v>
      </c>
      <c r="L127" s="3" t="s">
        <v>24</v>
      </c>
      <c r="M127" s="5">
        <v>900</v>
      </c>
      <c r="N127" s="34">
        <v>490</v>
      </c>
    </row>
    <row r="128" spans="1:14" ht="18" customHeight="1" x14ac:dyDescent="0.35">
      <c r="A128" s="27" t="s">
        <v>341</v>
      </c>
      <c r="B128" s="7" t="s">
        <v>342</v>
      </c>
      <c r="C128" s="7" t="str">
        <f>PROPER(TRIM(Table4[[#This Row],[Patient Name]]))</f>
        <v>Chitra Singh</v>
      </c>
      <c r="D128" s="6">
        <v>27</v>
      </c>
      <c r="E128" s="6" t="s">
        <v>773</v>
      </c>
      <c r="F128" s="6"/>
      <c r="G128" s="7" t="s">
        <v>16</v>
      </c>
      <c r="H128" s="8">
        <v>45633</v>
      </c>
      <c r="I128" s="7" t="s">
        <v>17</v>
      </c>
      <c r="J128" s="7" t="s">
        <v>18</v>
      </c>
      <c r="K128" s="7" t="s">
        <v>147</v>
      </c>
      <c r="L128" s="7" t="s">
        <v>24</v>
      </c>
      <c r="M128" s="9">
        <v>950</v>
      </c>
      <c r="N128" s="35">
        <v>730</v>
      </c>
    </row>
    <row r="129" spans="1:14" ht="18" customHeight="1" x14ac:dyDescent="0.35">
      <c r="A129" s="26" t="s">
        <v>343</v>
      </c>
      <c r="B129" s="3" t="s">
        <v>344</v>
      </c>
      <c r="C129" s="3" t="str">
        <f>PROPER(TRIM(Table4[[#This Row],[Patient Name]]))</f>
        <v>Dinesh Nair</v>
      </c>
      <c r="D129" s="2">
        <v>23</v>
      </c>
      <c r="E129" s="2" t="s">
        <v>772</v>
      </c>
      <c r="F129" s="2"/>
      <c r="G129" s="3" t="s">
        <v>69</v>
      </c>
      <c r="H129" s="4">
        <v>45636</v>
      </c>
      <c r="I129" s="3" t="s">
        <v>17</v>
      </c>
      <c r="J129" s="3" t="s">
        <v>64</v>
      </c>
      <c r="K129" s="3" t="s">
        <v>19</v>
      </c>
      <c r="L129" s="3" t="s">
        <v>148</v>
      </c>
      <c r="M129" s="5">
        <v>1000</v>
      </c>
      <c r="N129" s="34">
        <v>550</v>
      </c>
    </row>
    <row r="130" spans="1:14" ht="18" customHeight="1" x14ac:dyDescent="0.35">
      <c r="A130" s="27" t="s">
        <v>345</v>
      </c>
      <c r="B130" s="7" t="s">
        <v>346</v>
      </c>
      <c r="C130" s="7" t="str">
        <f>PROPER(TRIM(Table4[[#This Row],[Patient Name]]))</f>
        <v>Esha Krishnan</v>
      </c>
      <c r="D130" s="6">
        <v>6</v>
      </c>
      <c r="E130" s="6" t="s">
        <v>772</v>
      </c>
      <c r="F130" s="6"/>
      <c r="G130" s="7" t="s">
        <v>35</v>
      </c>
      <c r="H130" s="8">
        <v>45653</v>
      </c>
      <c r="I130" s="7" t="s">
        <v>42</v>
      </c>
      <c r="J130" s="7" t="s">
        <v>70</v>
      </c>
      <c r="K130" s="7" t="s">
        <v>44</v>
      </c>
      <c r="L130" s="7" t="s">
        <v>197</v>
      </c>
      <c r="M130" s="9">
        <v>350</v>
      </c>
      <c r="N130" s="35">
        <v>160</v>
      </c>
    </row>
    <row r="131" spans="1:14" ht="18" customHeight="1" x14ac:dyDescent="0.35">
      <c r="A131" s="26" t="s">
        <v>347</v>
      </c>
      <c r="B131" s="3" t="s">
        <v>348</v>
      </c>
      <c r="C131" s="3" t="str">
        <f>PROPER(TRIM(Table4[[#This Row],[Patient Name]]))</f>
        <v>Farhan Iyer</v>
      </c>
      <c r="D131" s="2">
        <v>60</v>
      </c>
      <c r="E131" s="2" t="s">
        <v>772</v>
      </c>
      <c r="F131" s="2"/>
      <c r="G131" s="3" t="s">
        <v>69</v>
      </c>
      <c r="H131" s="4">
        <v>45035</v>
      </c>
      <c r="I131" s="3" t="s">
        <v>17</v>
      </c>
      <c r="J131" s="3" t="s">
        <v>23</v>
      </c>
      <c r="K131" s="3" t="s">
        <v>192</v>
      </c>
      <c r="L131" s="3" t="s">
        <v>148</v>
      </c>
      <c r="M131" s="5">
        <v>1150</v>
      </c>
      <c r="N131" s="34">
        <v>480</v>
      </c>
    </row>
    <row r="132" spans="1:14" ht="18" customHeight="1" x14ac:dyDescent="0.35">
      <c r="A132" s="27" t="s">
        <v>349</v>
      </c>
      <c r="B132" s="7" t="s">
        <v>350</v>
      </c>
      <c r="C132" s="7" t="str">
        <f>PROPER(TRIM(Table4[[#This Row],[Patient Name]]))</f>
        <v>Geetha Mani</v>
      </c>
      <c r="D132" s="6">
        <v>61</v>
      </c>
      <c r="E132" s="6" t="s">
        <v>773</v>
      </c>
      <c r="F132" s="6"/>
      <c r="G132" s="7" t="s">
        <v>35</v>
      </c>
      <c r="H132" s="8">
        <v>45282</v>
      </c>
      <c r="I132" s="7" t="s">
        <v>17</v>
      </c>
      <c r="J132" s="7" t="s">
        <v>18</v>
      </c>
      <c r="K132" s="7" t="s">
        <v>147</v>
      </c>
      <c r="L132" s="7" t="s">
        <v>226</v>
      </c>
      <c r="M132" s="9">
        <v>900</v>
      </c>
      <c r="N132" s="35">
        <v>410</v>
      </c>
    </row>
    <row r="133" spans="1:14" ht="18" customHeight="1" x14ac:dyDescent="0.35">
      <c r="A133" s="26" t="s">
        <v>351</v>
      </c>
      <c r="B133" s="3" t="s">
        <v>352</v>
      </c>
      <c r="C133" s="3" t="str">
        <f>PROPER(TRIM(Table4[[#This Row],[Patient Name]]))</f>
        <v>Harish Reddy</v>
      </c>
      <c r="D133" s="2">
        <v>13</v>
      </c>
      <c r="E133" s="2" t="s">
        <v>772</v>
      </c>
      <c r="F133" s="2"/>
      <c r="G133" s="3" t="s">
        <v>27</v>
      </c>
      <c r="H133" s="4">
        <v>45204</v>
      </c>
      <c r="I133" s="3" t="s">
        <v>17</v>
      </c>
      <c r="J133" s="3" t="s">
        <v>23</v>
      </c>
      <c r="K133" s="3" t="s">
        <v>154</v>
      </c>
      <c r="L133" s="3" t="s">
        <v>24</v>
      </c>
      <c r="M133" s="5">
        <v>1150</v>
      </c>
      <c r="N133" s="34">
        <v>360</v>
      </c>
    </row>
    <row r="134" spans="1:14" ht="18" customHeight="1" x14ac:dyDescent="0.35">
      <c r="A134" s="27" t="s">
        <v>353</v>
      </c>
      <c r="B134" s="7" t="s">
        <v>354</v>
      </c>
      <c r="C134" s="7" t="str">
        <f>PROPER(TRIM(Table4[[#This Row],[Patient Name]]))</f>
        <v>Indira Rajan</v>
      </c>
      <c r="D134" s="6">
        <v>35</v>
      </c>
      <c r="E134" s="6" t="s">
        <v>772</v>
      </c>
      <c r="F134" s="6"/>
      <c r="G134" s="7" t="s">
        <v>16</v>
      </c>
      <c r="H134" s="8">
        <v>45062</v>
      </c>
      <c r="I134" s="7" t="s">
        <v>36</v>
      </c>
      <c r="J134" s="7" t="s">
        <v>37</v>
      </c>
      <c r="K134" s="7" t="s">
        <v>144</v>
      </c>
      <c r="L134" s="7" t="s">
        <v>77</v>
      </c>
      <c r="M134" s="9">
        <v>800</v>
      </c>
      <c r="N134" s="35">
        <v>530</v>
      </c>
    </row>
    <row r="135" spans="1:14" ht="18" customHeight="1" x14ac:dyDescent="0.35">
      <c r="A135" s="26" t="s">
        <v>355</v>
      </c>
      <c r="B135" s="3" t="s">
        <v>356</v>
      </c>
      <c r="C135" s="3" t="str">
        <f>PROPER(TRIM(Table4[[#This Row],[Patient Name]]))</f>
        <v>Jaya Verma</v>
      </c>
      <c r="D135" s="2">
        <v>28</v>
      </c>
      <c r="E135" s="2" t="s">
        <v>773</v>
      </c>
      <c r="F135" s="2"/>
      <c r="G135" s="3" t="s">
        <v>27</v>
      </c>
      <c r="H135" s="4">
        <v>45617</v>
      </c>
      <c r="I135" s="3" t="s">
        <v>17</v>
      </c>
      <c r="J135" s="3" t="s">
        <v>18</v>
      </c>
      <c r="K135" s="3" t="s">
        <v>192</v>
      </c>
      <c r="L135" s="3" t="s">
        <v>148</v>
      </c>
      <c r="M135" s="5">
        <v>800</v>
      </c>
      <c r="N135" s="34">
        <v>750</v>
      </c>
    </row>
    <row r="136" spans="1:14" ht="18" customHeight="1" x14ac:dyDescent="0.35">
      <c r="A136" s="27" t="s">
        <v>357</v>
      </c>
      <c r="B136" s="7" t="s">
        <v>358</v>
      </c>
      <c r="C136" s="7" t="str">
        <f>PROPER(TRIM(Table4[[#This Row],[Patient Name]]))</f>
        <v>Kiran Kumar</v>
      </c>
      <c r="D136" s="6">
        <v>77</v>
      </c>
      <c r="E136" s="6" t="s">
        <v>773</v>
      </c>
      <c r="F136" s="6"/>
      <c r="G136" s="7" t="s">
        <v>16</v>
      </c>
      <c r="H136" s="8">
        <v>45639</v>
      </c>
      <c r="I136" s="7" t="s">
        <v>28</v>
      </c>
      <c r="J136" s="7" t="s">
        <v>29</v>
      </c>
      <c r="K136" s="7" t="s">
        <v>60</v>
      </c>
      <c r="L136" s="7" t="s">
        <v>111</v>
      </c>
      <c r="M136" s="9">
        <v>400</v>
      </c>
      <c r="N136" s="35">
        <v>270</v>
      </c>
    </row>
    <row r="137" spans="1:14" ht="18" customHeight="1" x14ac:dyDescent="0.35">
      <c r="A137" s="26" t="s">
        <v>359</v>
      </c>
      <c r="B137" s="3" t="s">
        <v>360</v>
      </c>
      <c r="C137" s="3" t="str">
        <f>PROPER(TRIM(Table4[[#This Row],[Patient Name]]))</f>
        <v>Latha Devi</v>
      </c>
      <c r="D137" s="2">
        <v>57</v>
      </c>
      <c r="E137" s="2" t="s">
        <v>773</v>
      </c>
      <c r="F137" s="2"/>
      <c r="G137" s="3" t="s">
        <v>16</v>
      </c>
      <c r="H137" s="4">
        <v>45058</v>
      </c>
      <c r="I137" s="3" t="s">
        <v>36</v>
      </c>
      <c r="J137" s="3" t="s">
        <v>75</v>
      </c>
      <c r="K137" s="3" t="s">
        <v>144</v>
      </c>
      <c r="L137" s="3" t="s">
        <v>77</v>
      </c>
      <c r="M137" s="5">
        <v>700</v>
      </c>
      <c r="N137" s="34">
        <v>410</v>
      </c>
    </row>
    <row r="138" spans="1:14" ht="18" customHeight="1" x14ac:dyDescent="0.35">
      <c r="A138" s="27" t="s">
        <v>361</v>
      </c>
      <c r="B138" s="7" t="s">
        <v>362</v>
      </c>
      <c r="C138" s="7" t="str">
        <f>PROPER(TRIM(Table4[[#This Row],[Patient Name]]))</f>
        <v>Mani Sharma</v>
      </c>
      <c r="D138" s="6">
        <v>59</v>
      </c>
      <c r="E138" s="6" t="s">
        <v>773</v>
      </c>
      <c r="F138" s="6"/>
      <c r="G138" s="7" t="s">
        <v>69</v>
      </c>
      <c r="H138" s="8">
        <v>45547</v>
      </c>
      <c r="I138" s="7" t="s">
        <v>17</v>
      </c>
      <c r="J138" s="7" t="s">
        <v>18</v>
      </c>
      <c r="K138" s="7" t="s">
        <v>192</v>
      </c>
      <c r="L138" s="7" t="s">
        <v>66</v>
      </c>
      <c r="M138" s="9">
        <v>700</v>
      </c>
      <c r="N138" s="35">
        <v>880</v>
      </c>
    </row>
    <row r="139" spans="1:14" ht="18" customHeight="1" x14ac:dyDescent="0.35">
      <c r="A139" s="26" t="s">
        <v>363</v>
      </c>
      <c r="B139" s="3" t="s">
        <v>364</v>
      </c>
      <c r="C139" s="3" t="str">
        <f>PROPER(TRIM(Table4[[#This Row],[Patient Name]]))</f>
        <v>Nalini Patel</v>
      </c>
      <c r="D139" s="2">
        <v>55</v>
      </c>
      <c r="E139" s="2" t="s">
        <v>772</v>
      </c>
      <c r="F139" s="2"/>
      <c r="G139" s="3" t="s">
        <v>69</v>
      </c>
      <c r="H139" s="4">
        <v>44969</v>
      </c>
      <c r="I139" s="3" t="s">
        <v>42</v>
      </c>
      <c r="J139" s="3" t="s">
        <v>70</v>
      </c>
      <c r="K139" s="3" t="s">
        <v>71</v>
      </c>
      <c r="L139" s="3" t="s">
        <v>129</v>
      </c>
      <c r="M139" s="5">
        <v>350</v>
      </c>
      <c r="N139" s="34">
        <v>240</v>
      </c>
    </row>
    <row r="140" spans="1:14" ht="18" customHeight="1" x14ac:dyDescent="0.35">
      <c r="A140" s="27" t="s">
        <v>365</v>
      </c>
      <c r="B140" s="7" t="s">
        <v>366</v>
      </c>
      <c r="C140" s="7" t="str">
        <f>PROPER(TRIM(Table4[[#This Row],[Patient Name]]))</f>
        <v>Pavan Menon</v>
      </c>
      <c r="D140" s="6">
        <v>19</v>
      </c>
      <c r="E140" s="6" t="s">
        <v>773</v>
      </c>
      <c r="F140" s="6"/>
      <c r="G140" s="7" t="s">
        <v>80</v>
      </c>
      <c r="H140" s="8">
        <v>45419</v>
      </c>
      <c r="I140" s="7" t="s">
        <v>17</v>
      </c>
      <c r="J140" s="7" t="s">
        <v>18</v>
      </c>
      <c r="K140" s="7" t="s">
        <v>65</v>
      </c>
      <c r="L140" s="7" t="s">
        <v>148</v>
      </c>
      <c r="M140" s="9">
        <v>1150</v>
      </c>
      <c r="N140" s="35">
        <v>650</v>
      </c>
    </row>
    <row r="141" spans="1:14" ht="18" customHeight="1" x14ac:dyDescent="0.35">
      <c r="A141" s="26" t="s">
        <v>367</v>
      </c>
      <c r="B141" s="3" t="s">
        <v>368</v>
      </c>
      <c r="C141" s="3" t="str">
        <f>PROPER(TRIM(Table4[[#This Row],[Patient Name]]))</f>
        <v>Radha Murugan</v>
      </c>
      <c r="D141" s="2">
        <v>10</v>
      </c>
      <c r="E141" s="2" t="s">
        <v>773</v>
      </c>
      <c r="F141" s="2"/>
      <c r="G141" s="3" t="s">
        <v>16</v>
      </c>
      <c r="H141" s="4">
        <v>45370</v>
      </c>
      <c r="I141" s="3" t="s">
        <v>28</v>
      </c>
      <c r="J141" s="3" t="s">
        <v>122</v>
      </c>
      <c r="K141" s="3" t="s">
        <v>174</v>
      </c>
      <c r="L141" s="3" t="s">
        <v>61</v>
      </c>
      <c r="M141" s="5">
        <v>450</v>
      </c>
      <c r="N141" s="34">
        <v>100</v>
      </c>
    </row>
    <row r="142" spans="1:14" ht="18" customHeight="1" x14ac:dyDescent="0.35">
      <c r="A142" s="27" t="s">
        <v>369</v>
      </c>
      <c r="B142" s="7" t="s">
        <v>370</v>
      </c>
      <c r="C142" s="7" t="str">
        <f>PROPER(TRIM(Table4[[#This Row],[Patient Name]]))</f>
        <v>Suresh Murugan</v>
      </c>
      <c r="D142" s="6">
        <v>25</v>
      </c>
      <c r="E142" s="6" t="s">
        <v>772</v>
      </c>
      <c r="F142" s="6"/>
      <c r="G142" s="7" t="s">
        <v>35</v>
      </c>
      <c r="H142" s="8">
        <v>45377</v>
      </c>
      <c r="I142" s="7" t="s">
        <v>28</v>
      </c>
      <c r="J142" s="7" t="s">
        <v>29</v>
      </c>
      <c r="K142" s="7" t="s">
        <v>60</v>
      </c>
      <c r="L142" s="7" t="s">
        <v>371</v>
      </c>
      <c r="M142" s="9">
        <v>700</v>
      </c>
      <c r="N142" s="35">
        <v>270</v>
      </c>
    </row>
    <row r="143" spans="1:14" ht="18" customHeight="1" x14ac:dyDescent="0.35">
      <c r="A143" s="26" t="s">
        <v>372</v>
      </c>
      <c r="B143" s="3" t="s">
        <v>373</v>
      </c>
      <c r="C143" s="3" t="str">
        <f>PROPER(TRIM(Table4[[#This Row],[Patient Name]]))</f>
        <v>Thilaga Patel</v>
      </c>
      <c r="D143" s="2">
        <v>10</v>
      </c>
      <c r="E143" s="2" t="s">
        <v>772</v>
      </c>
      <c r="F143" s="2"/>
      <c r="G143" s="3" t="s">
        <v>16</v>
      </c>
      <c r="H143" s="4">
        <v>45262</v>
      </c>
      <c r="I143" s="3" t="s">
        <v>36</v>
      </c>
      <c r="J143" s="3" t="s">
        <v>81</v>
      </c>
      <c r="K143" s="3" t="s">
        <v>144</v>
      </c>
      <c r="L143" s="3" t="s">
        <v>133</v>
      </c>
      <c r="M143" s="5">
        <v>850</v>
      </c>
      <c r="N143" s="34">
        <v>260</v>
      </c>
    </row>
    <row r="144" spans="1:14" ht="18" customHeight="1" x14ac:dyDescent="0.35">
      <c r="A144" s="27" t="s">
        <v>374</v>
      </c>
      <c r="B144" s="7" t="s">
        <v>375</v>
      </c>
      <c r="C144" s="7" t="str">
        <f>PROPER(TRIM(Table4[[#This Row],[Patient Name]]))</f>
        <v>Usha Murugan</v>
      </c>
      <c r="D144" s="6">
        <v>65</v>
      </c>
      <c r="E144" s="6" t="s">
        <v>772</v>
      </c>
      <c r="F144" s="6"/>
      <c r="G144" s="7" t="s">
        <v>35</v>
      </c>
      <c r="H144" s="8">
        <v>44941</v>
      </c>
      <c r="I144" s="7" t="s">
        <v>42</v>
      </c>
      <c r="J144" s="7" t="s">
        <v>89</v>
      </c>
      <c r="K144" s="7" t="s">
        <v>136</v>
      </c>
      <c r="L144" s="7" t="s">
        <v>86</v>
      </c>
      <c r="M144" s="9">
        <v>450</v>
      </c>
      <c r="N144" s="35">
        <v>210</v>
      </c>
    </row>
    <row r="145" spans="1:14" ht="18" customHeight="1" x14ac:dyDescent="0.35">
      <c r="A145" s="26" t="s">
        <v>376</v>
      </c>
      <c r="B145" s="3" t="s">
        <v>377</v>
      </c>
      <c r="C145" s="3" t="str">
        <f>PROPER(TRIM(Table4[[#This Row],[Patient Name]]))</f>
        <v>Venkat Murugan</v>
      </c>
      <c r="D145" s="2">
        <v>5</v>
      </c>
      <c r="E145" s="2" t="s">
        <v>773</v>
      </c>
      <c r="F145" s="2"/>
      <c r="G145" s="3" t="s">
        <v>80</v>
      </c>
      <c r="H145" s="4">
        <v>45374</v>
      </c>
      <c r="I145" s="3" t="s">
        <v>48</v>
      </c>
      <c r="J145" s="3" t="s">
        <v>54</v>
      </c>
      <c r="K145" s="3" t="s">
        <v>55</v>
      </c>
      <c r="L145" s="3" t="s">
        <v>51</v>
      </c>
      <c r="M145" s="5">
        <v>750</v>
      </c>
      <c r="N145" s="34">
        <v>490</v>
      </c>
    </row>
    <row r="146" spans="1:14" ht="18" customHeight="1" x14ac:dyDescent="0.35">
      <c r="A146" s="27" t="s">
        <v>378</v>
      </c>
      <c r="B146" s="7" t="s">
        <v>379</v>
      </c>
      <c r="C146" s="7" t="str">
        <f>PROPER(TRIM(Table4[[#This Row],[Patient Name]]))</f>
        <v>Yamini Subramanian</v>
      </c>
      <c r="D146" s="6">
        <v>19</v>
      </c>
      <c r="E146" s="6" t="s">
        <v>773</v>
      </c>
      <c r="F146" s="6"/>
      <c r="G146" s="7" t="s">
        <v>80</v>
      </c>
      <c r="H146" s="8">
        <v>45394</v>
      </c>
      <c r="I146" s="7" t="s">
        <v>17</v>
      </c>
      <c r="J146" s="7" t="s">
        <v>64</v>
      </c>
      <c r="K146" s="7" t="s">
        <v>65</v>
      </c>
      <c r="L146" s="7" t="s">
        <v>148</v>
      </c>
      <c r="M146" s="9">
        <v>700</v>
      </c>
      <c r="N146" s="35">
        <v>830</v>
      </c>
    </row>
    <row r="147" spans="1:14" ht="18" customHeight="1" x14ac:dyDescent="0.35">
      <c r="A147" s="26" t="s">
        <v>380</v>
      </c>
      <c r="B147" s="3" t="s">
        <v>381</v>
      </c>
      <c r="C147" s="3" t="str">
        <f>PROPER(TRIM(Table4[[#This Row],[Patient Name]]))</f>
        <v>Aditya Krishnan</v>
      </c>
      <c r="D147" s="2">
        <v>26</v>
      </c>
      <c r="E147" s="2" t="s">
        <v>773</v>
      </c>
      <c r="F147" s="2"/>
      <c r="G147" s="3" t="s">
        <v>27</v>
      </c>
      <c r="H147" s="4">
        <v>45468</v>
      </c>
      <c r="I147" s="3" t="s">
        <v>17</v>
      </c>
      <c r="J147" s="3" t="s">
        <v>64</v>
      </c>
      <c r="K147" s="3" t="s">
        <v>154</v>
      </c>
      <c r="L147" s="3" t="s">
        <v>148</v>
      </c>
      <c r="M147" s="5">
        <v>800</v>
      </c>
      <c r="N147" s="34">
        <v>530</v>
      </c>
    </row>
    <row r="148" spans="1:14" ht="18" customHeight="1" x14ac:dyDescent="0.35">
      <c r="A148" s="27" t="s">
        <v>382</v>
      </c>
      <c r="B148" s="7" t="s">
        <v>383</v>
      </c>
      <c r="C148" s="7" t="str">
        <f>PROPER(TRIM(Table4[[#This Row],[Patient Name]]))</f>
        <v>Bharathi Balan</v>
      </c>
      <c r="D148" s="6">
        <v>48</v>
      </c>
      <c r="E148" s="6" t="s">
        <v>772</v>
      </c>
      <c r="F148" s="6"/>
      <c r="G148" s="7" t="s">
        <v>80</v>
      </c>
      <c r="H148" s="8">
        <v>45250</v>
      </c>
      <c r="I148" s="7" t="s">
        <v>36</v>
      </c>
      <c r="J148" s="7" t="s">
        <v>37</v>
      </c>
      <c r="K148" s="7" t="s">
        <v>38</v>
      </c>
      <c r="L148" s="7" t="s">
        <v>82</v>
      </c>
      <c r="M148" s="9">
        <v>850</v>
      </c>
      <c r="N148" s="35">
        <v>350</v>
      </c>
    </row>
    <row r="149" spans="1:14" ht="18" customHeight="1" x14ac:dyDescent="0.35">
      <c r="A149" s="26" t="s">
        <v>384</v>
      </c>
      <c r="B149" s="3" t="s">
        <v>385</v>
      </c>
      <c r="C149" s="3" t="str">
        <f>PROPER(TRIM(Table4[[#This Row],[Patient Name]]))</f>
        <v>Chandru Reddy</v>
      </c>
      <c r="D149" s="2">
        <v>67</v>
      </c>
      <c r="E149" s="2" t="s">
        <v>773</v>
      </c>
      <c r="F149" s="2"/>
      <c r="G149" s="3" t="s">
        <v>35</v>
      </c>
      <c r="H149" s="4">
        <v>45522</v>
      </c>
      <c r="I149" s="3" t="s">
        <v>17</v>
      </c>
      <c r="J149" s="3" t="s">
        <v>23</v>
      </c>
      <c r="K149" s="3" t="s">
        <v>154</v>
      </c>
      <c r="L149" s="3" t="s">
        <v>66</v>
      </c>
      <c r="M149" s="5">
        <v>1150</v>
      </c>
      <c r="N149" s="34">
        <v>530</v>
      </c>
    </row>
    <row r="150" spans="1:14" ht="18" customHeight="1" x14ac:dyDescent="0.35">
      <c r="A150" s="27" t="s">
        <v>386</v>
      </c>
      <c r="B150" s="7" t="s">
        <v>387</v>
      </c>
      <c r="C150" s="7" t="str">
        <f>PROPER(TRIM(Table4[[#This Row],[Patient Name]]))</f>
        <v>Devika Iyer</v>
      </c>
      <c r="D150" s="6">
        <v>59</v>
      </c>
      <c r="E150" s="6" t="s">
        <v>772</v>
      </c>
      <c r="F150" s="6"/>
      <c r="G150" s="7" t="s">
        <v>80</v>
      </c>
      <c r="H150" s="8">
        <v>45135</v>
      </c>
      <c r="I150" s="7" t="s">
        <v>48</v>
      </c>
      <c r="J150" s="7" t="s">
        <v>49</v>
      </c>
      <c r="K150" s="7" t="s">
        <v>50</v>
      </c>
      <c r="L150" s="7" t="s">
        <v>51</v>
      </c>
      <c r="M150" s="9">
        <v>600</v>
      </c>
      <c r="N150" s="35">
        <v>360</v>
      </c>
    </row>
    <row r="151" spans="1:14" ht="18" customHeight="1" x14ac:dyDescent="0.35">
      <c r="A151" s="26" t="s">
        <v>388</v>
      </c>
      <c r="B151" s="3" t="s">
        <v>389</v>
      </c>
      <c r="C151" s="3" t="str">
        <f>PROPER(TRIM(Table4[[#This Row],[Patient Name]]))</f>
        <v>Elango Sharma</v>
      </c>
      <c r="D151" s="2">
        <v>69</v>
      </c>
      <c r="E151" s="2" t="s">
        <v>773</v>
      </c>
      <c r="F151" s="2"/>
      <c r="G151" s="3" t="s">
        <v>35</v>
      </c>
      <c r="H151" s="4">
        <v>45487</v>
      </c>
      <c r="I151" s="3" t="s">
        <v>48</v>
      </c>
      <c r="J151" s="3" t="s">
        <v>54</v>
      </c>
      <c r="K151" s="3" t="s">
        <v>94</v>
      </c>
      <c r="L151" s="3" t="s">
        <v>95</v>
      </c>
      <c r="M151" s="5">
        <v>600</v>
      </c>
      <c r="N151" s="34">
        <v>220</v>
      </c>
    </row>
    <row r="152" spans="1:14" ht="18" customHeight="1" x14ac:dyDescent="0.35">
      <c r="A152" s="27" t="s">
        <v>390</v>
      </c>
      <c r="B152" s="7" t="s">
        <v>391</v>
      </c>
      <c r="C152" s="7" t="str">
        <f>PROPER(TRIM(Table4[[#This Row],[Patient Name]]))</f>
        <v>Fathima Krishnan</v>
      </c>
      <c r="D152" s="6">
        <v>52</v>
      </c>
      <c r="E152" s="6" t="s">
        <v>773</v>
      </c>
      <c r="F152" s="6"/>
      <c r="G152" s="7" t="s">
        <v>80</v>
      </c>
      <c r="H152" s="8">
        <v>45631</v>
      </c>
      <c r="I152" s="7" t="s">
        <v>17</v>
      </c>
      <c r="J152" s="7" t="s">
        <v>18</v>
      </c>
      <c r="K152" s="7" t="s">
        <v>65</v>
      </c>
      <c r="L152" s="7" t="s">
        <v>20</v>
      </c>
      <c r="M152" s="9">
        <v>950</v>
      </c>
      <c r="N152" s="35">
        <v>600</v>
      </c>
    </row>
    <row r="153" spans="1:14" ht="18" customHeight="1" x14ac:dyDescent="0.35">
      <c r="A153" s="26" t="s">
        <v>392</v>
      </c>
      <c r="B153" s="3" t="s">
        <v>393</v>
      </c>
      <c r="C153" s="3" t="str">
        <f>PROPER(TRIM(Table4[[#This Row],[Patient Name]]))</f>
        <v>Gopal Vel</v>
      </c>
      <c r="D153" s="2">
        <v>80</v>
      </c>
      <c r="E153" s="2" t="s">
        <v>773</v>
      </c>
      <c r="F153" s="2"/>
      <c r="G153" s="3" t="s">
        <v>27</v>
      </c>
      <c r="H153" s="4">
        <v>45278</v>
      </c>
      <c r="I153" s="3" t="s">
        <v>28</v>
      </c>
      <c r="J153" s="3" t="s">
        <v>59</v>
      </c>
      <c r="K153" s="3" t="s">
        <v>174</v>
      </c>
      <c r="L153" s="3" t="s">
        <v>371</v>
      </c>
      <c r="M153" s="5">
        <v>450</v>
      </c>
      <c r="N153" s="34">
        <v>220</v>
      </c>
    </row>
    <row r="154" spans="1:14" ht="18" customHeight="1" x14ac:dyDescent="0.35">
      <c r="A154" s="27" t="s">
        <v>394</v>
      </c>
      <c r="B154" s="7" t="s">
        <v>395</v>
      </c>
      <c r="C154" s="7" t="str">
        <f>PROPER(TRIM(Table4[[#This Row],[Patient Name]]))</f>
        <v>Hema Murugan</v>
      </c>
      <c r="D154" s="6">
        <v>74</v>
      </c>
      <c r="E154" s="6" t="s">
        <v>772</v>
      </c>
      <c r="F154" s="6"/>
      <c r="G154" s="7" t="s">
        <v>35</v>
      </c>
      <c r="H154" s="8">
        <v>45058</v>
      </c>
      <c r="I154" s="7" t="s">
        <v>42</v>
      </c>
      <c r="J154" s="7" t="s">
        <v>43</v>
      </c>
      <c r="K154" s="7" t="s">
        <v>136</v>
      </c>
      <c r="L154" s="7" t="s">
        <v>45</v>
      </c>
      <c r="M154" s="9">
        <v>350</v>
      </c>
      <c r="N154" s="35">
        <v>310</v>
      </c>
    </row>
    <row r="155" spans="1:14" ht="18" customHeight="1" x14ac:dyDescent="0.35">
      <c r="A155" s="26" t="s">
        <v>396</v>
      </c>
      <c r="B155" s="3" t="s">
        <v>397</v>
      </c>
      <c r="C155" s="3" t="str">
        <f>PROPER(TRIM(Table4[[#This Row],[Patient Name]]))</f>
        <v>Ilango Narayanan</v>
      </c>
      <c r="D155" s="2">
        <v>44</v>
      </c>
      <c r="E155" s="2" t="s">
        <v>773</v>
      </c>
      <c r="F155" s="2"/>
      <c r="G155" s="3" t="s">
        <v>107</v>
      </c>
      <c r="H155" s="4">
        <v>45175</v>
      </c>
      <c r="I155" s="3" t="s">
        <v>36</v>
      </c>
      <c r="J155" s="3" t="s">
        <v>81</v>
      </c>
      <c r="K155" s="3" t="s">
        <v>144</v>
      </c>
      <c r="L155" s="3" t="s">
        <v>82</v>
      </c>
      <c r="M155" s="5">
        <v>750</v>
      </c>
      <c r="N155" s="34">
        <v>350</v>
      </c>
    </row>
    <row r="156" spans="1:14" ht="18" customHeight="1" x14ac:dyDescent="0.35">
      <c r="A156" s="27" t="s">
        <v>398</v>
      </c>
      <c r="B156" s="7" t="s">
        <v>399</v>
      </c>
      <c r="C156" s="7" t="str">
        <f>PROPER(TRIM(Table4[[#This Row],[Patient Name]]))</f>
        <v>Janani Rao</v>
      </c>
      <c r="D156" s="6">
        <v>11</v>
      </c>
      <c r="E156" s="6" t="s">
        <v>773</v>
      </c>
      <c r="F156" s="6"/>
      <c r="G156" s="7" t="s">
        <v>35</v>
      </c>
      <c r="H156" s="8">
        <v>44936</v>
      </c>
      <c r="I156" s="7" t="s">
        <v>42</v>
      </c>
      <c r="J156" s="7" t="s">
        <v>89</v>
      </c>
      <c r="K156" s="7" t="s">
        <v>44</v>
      </c>
      <c r="L156" s="7" t="s">
        <v>129</v>
      </c>
      <c r="M156" s="9">
        <v>350</v>
      </c>
      <c r="N156" s="35">
        <v>160</v>
      </c>
    </row>
    <row r="157" spans="1:14" ht="18" customHeight="1" x14ac:dyDescent="0.35">
      <c r="A157" s="26" t="s">
        <v>400</v>
      </c>
      <c r="B157" s="3" t="s">
        <v>401</v>
      </c>
      <c r="C157" s="3" t="str">
        <f>PROPER(TRIM(Table4[[#This Row],[Patient Name]]))</f>
        <v>Kabilan Verma</v>
      </c>
      <c r="D157" s="2">
        <v>27</v>
      </c>
      <c r="E157" s="2" t="s">
        <v>772</v>
      </c>
      <c r="F157" s="2"/>
      <c r="G157" s="3" t="s">
        <v>35</v>
      </c>
      <c r="H157" s="4">
        <v>45328</v>
      </c>
      <c r="I157" s="3" t="s">
        <v>28</v>
      </c>
      <c r="J157" s="3" t="s">
        <v>29</v>
      </c>
      <c r="K157" s="3" t="s">
        <v>123</v>
      </c>
      <c r="L157" s="3" t="s">
        <v>61</v>
      </c>
      <c r="M157" s="5">
        <v>500</v>
      </c>
      <c r="N157" s="34">
        <v>200</v>
      </c>
    </row>
    <row r="158" spans="1:14" ht="18" customHeight="1" x14ac:dyDescent="0.35">
      <c r="A158" s="27" t="s">
        <v>402</v>
      </c>
      <c r="B158" s="7" t="s">
        <v>403</v>
      </c>
      <c r="C158" s="7" t="str">
        <f>PROPER(TRIM(Table4[[#This Row],[Patient Name]]))</f>
        <v>Lalitha Selvam</v>
      </c>
      <c r="D158" s="6">
        <v>40</v>
      </c>
      <c r="E158" s="6" t="s">
        <v>773</v>
      </c>
      <c r="F158" s="6"/>
      <c r="G158" s="7" t="s">
        <v>35</v>
      </c>
      <c r="H158" s="8">
        <v>45480</v>
      </c>
      <c r="I158" s="7" t="s">
        <v>42</v>
      </c>
      <c r="J158" s="7" t="s">
        <v>89</v>
      </c>
      <c r="K158" s="7" t="s">
        <v>71</v>
      </c>
      <c r="L158" s="7" t="s">
        <v>90</v>
      </c>
      <c r="M158" s="9">
        <v>450</v>
      </c>
      <c r="N158" s="35">
        <v>160</v>
      </c>
    </row>
    <row r="159" spans="1:14" ht="18" customHeight="1" x14ac:dyDescent="0.35">
      <c r="A159" s="26" t="s">
        <v>404</v>
      </c>
      <c r="B159" s="3" t="s">
        <v>405</v>
      </c>
      <c r="C159" s="3" t="str">
        <f>PROPER(TRIM(Table4[[#This Row],[Patient Name]]))</f>
        <v>Muthu Rao</v>
      </c>
      <c r="D159" s="2">
        <v>49</v>
      </c>
      <c r="E159" s="2" t="s">
        <v>773</v>
      </c>
      <c r="F159" s="2"/>
      <c r="G159" s="3" t="s">
        <v>69</v>
      </c>
      <c r="H159" s="4">
        <v>45159</v>
      </c>
      <c r="I159" s="3" t="s">
        <v>28</v>
      </c>
      <c r="J159" s="3" t="s">
        <v>29</v>
      </c>
      <c r="K159" s="3" t="s">
        <v>60</v>
      </c>
      <c r="L159" s="3" t="s">
        <v>31</v>
      </c>
      <c r="M159" s="5">
        <v>650</v>
      </c>
      <c r="N159" s="34">
        <v>200</v>
      </c>
    </row>
    <row r="160" spans="1:14" ht="18" customHeight="1" x14ac:dyDescent="0.35">
      <c r="A160" s="27" t="s">
        <v>406</v>
      </c>
      <c r="B160" s="7" t="s">
        <v>407</v>
      </c>
      <c r="C160" s="7" t="str">
        <f>PROPER(TRIM(Table4[[#This Row],[Patient Name]]))</f>
        <v>Nandini Selvam</v>
      </c>
      <c r="D160" s="6">
        <v>38</v>
      </c>
      <c r="E160" s="6" t="s">
        <v>772</v>
      </c>
      <c r="F160" s="6"/>
      <c r="G160" s="7" t="s">
        <v>16</v>
      </c>
      <c r="H160" s="8">
        <v>45343</v>
      </c>
      <c r="I160" s="7" t="s">
        <v>36</v>
      </c>
      <c r="J160" s="7" t="s">
        <v>81</v>
      </c>
      <c r="K160" s="7" t="s">
        <v>144</v>
      </c>
      <c r="L160" s="7" t="s">
        <v>133</v>
      </c>
      <c r="M160" s="9">
        <v>700</v>
      </c>
      <c r="N160" s="35">
        <v>440</v>
      </c>
    </row>
    <row r="161" spans="1:14" ht="18" customHeight="1" x14ac:dyDescent="0.35">
      <c r="A161" s="26" t="s">
        <v>408</v>
      </c>
      <c r="B161" s="3" t="s">
        <v>409</v>
      </c>
      <c r="C161" s="3" t="str">
        <f>PROPER(TRIM(Table4[[#This Row],[Patient Name]]))</f>
        <v>Prakash Vel</v>
      </c>
      <c r="D161" s="2">
        <v>37</v>
      </c>
      <c r="E161" s="2" t="s">
        <v>772</v>
      </c>
      <c r="F161" s="2"/>
      <c r="G161" s="3" t="s">
        <v>80</v>
      </c>
      <c r="H161" s="4">
        <v>45141</v>
      </c>
      <c r="I161" s="3" t="s">
        <v>28</v>
      </c>
      <c r="J161" s="3" t="s">
        <v>29</v>
      </c>
      <c r="K161" s="3" t="s">
        <v>110</v>
      </c>
      <c r="L161" s="3" t="s">
        <v>298</v>
      </c>
      <c r="M161" s="5">
        <v>500</v>
      </c>
      <c r="N161" s="34">
        <v>110</v>
      </c>
    </row>
    <row r="162" spans="1:14" ht="18" customHeight="1" x14ac:dyDescent="0.35">
      <c r="A162" s="27" t="s">
        <v>410</v>
      </c>
      <c r="B162" s="7" t="s">
        <v>411</v>
      </c>
      <c r="C162" s="7" t="str">
        <f>PROPER(TRIM(Table4[[#This Row],[Patient Name]]))</f>
        <v>Ramya Verma</v>
      </c>
      <c r="D162" s="6">
        <v>45</v>
      </c>
      <c r="E162" s="6" t="s">
        <v>772</v>
      </c>
      <c r="F162" s="6"/>
      <c r="G162" s="7" t="s">
        <v>80</v>
      </c>
      <c r="H162" s="8">
        <v>45057</v>
      </c>
      <c r="I162" s="7" t="s">
        <v>17</v>
      </c>
      <c r="J162" s="7" t="s">
        <v>18</v>
      </c>
      <c r="K162" s="7" t="s">
        <v>147</v>
      </c>
      <c r="L162" s="7" t="s">
        <v>66</v>
      </c>
      <c r="M162" s="9">
        <v>1000</v>
      </c>
      <c r="N162" s="35">
        <v>480</v>
      </c>
    </row>
    <row r="163" spans="1:14" ht="18" customHeight="1" x14ac:dyDescent="0.35">
      <c r="A163" s="26" t="s">
        <v>412</v>
      </c>
      <c r="B163" s="3" t="s">
        <v>413</v>
      </c>
      <c r="C163" s="3" t="str">
        <f>PROPER(TRIM(Table4[[#This Row],[Patient Name]]))</f>
        <v>Selvam Nair</v>
      </c>
      <c r="D163" s="2">
        <v>59</v>
      </c>
      <c r="E163" s="2" t="s">
        <v>772</v>
      </c>
      <c r="F163" s="2"/>
      <c r="G163" s="3" t="s">
        <v>69</v>
      </c>
      <c r="H163" s="4">
        <v>45525</v>
      </c>
      <c r="I163" s="3" t="s">
        <v>36</v>
      </c>
      <c r="J163" s="3" t="s">
        <v>81</v>
      </c>
      <c r="K163" s="3" t="s">
        <v>38</v>
      </c>
      <c r="L163" s="3" t="s">
        <v>77</v>
      </c>
      <c r="M163" s="5">
        <v>850</v>
      </c>
      <c r="N163" s="34">
        <v>350</v>
      </c>
    </row>
    <row r="164" spans="1:14" ht="18" customHeight="1" x14ac:dyDescent="0.35">
      <c r="A164" s="27" t="s">
        <v>414</v>
      </c>
      <c r="B164" s="7" t="s">
        <v>415</v>
      </c>
      <c r="C164" s="7" t="str">
        <f>PROPER(TRIM(Table4[[#This Row],[Patient Name]]))</f>
        <v>Thenmozhi Raja</v>
      </c>
      <c r="D164" s="6">
        <v>74</v>
      </c>
      <c r="E164" s="6" t="s">
        <v>772</v>
      </c>
      <c r="F164" s="6"/>
      <c r="G164" s="7" t="s">
        <v>80</v>
      </c>
      <c r="H164" s="8">
        <v>45475</v>
      </c>
      <c r="I164" s="7" t="s">
        <v>17</v>
      </c>
      <c r="J164" s="7" t="s">
        <v>18</v>
      </c>
      <c r="K164" s="7" t="s">
        <v>192</v>
      </c>
      <c r="L164" s="7" t="s">
        <v>20</v>
      </c>
      <c r="M164" s="9">
        <v>850</v>
      </c>
      <c r="N164" s="35">
        <v>350</v>
      </c>
    </row>
    <row r="165" spans="1:14" ht="18" customHeight="1" x14ac:dyDescent="0.35">
      <c r="A165" s="26" t="s">
        <v>416</v>
      </c>
      <c r="B165" s="3" t="s">
        <v>417</v>
      </c>
      <c r="C165" s="3" t="str">
        <f>PROPER(TRIM(Table4[[#This Row],[Patient Name]]))</f>
        <v>Uma Vel</v>
      </c>
      <c r="D165" s="2">
        <v>17</v>
      </c>
      <c r="E165" s="2" t="s">
        <v>773</v>
      </c>
      <c r="F165" s="2"/>
      <c r="G165" s="3" t="s">
        <v>69</v>
      </c>
      <c r="H165" s="4">
        <v>45501</v>
      </c>
      <c r="I165" s="3" t="s">
        <v>36</v>
      </c>
      <c r="J165" s="3" t="s">
        <v>37</v>
      </c>
      <c r="K165" s="3" t="s">
        <v>76</v>
      </c>
      <c r="L165" s="3" t="s">
        <v>133</v>
      </c>
      <c r="M165" s="5">
        <v>650</v>
      </c>
      <c r="N165" s="34">
        <v>250</v>
      </c>
    </row>
    <row r="166" spans="1:14" ht="18" customHeight="1" x14ac:dyDescent="0.35">
      <c r="A166" s="27" t="s">
        <v>418</v>
      </c>
      <c r="B166" s="7" t="s">
        <v>419</v>
      </c>
      <c r="C166" s="7" t="str">
        <f>PROPER(TRIM(Table4[[#This Row],[Patient Name]]))</f>
        <v>Vijaya Patel</v>
      </c>
      <c r="D166" s="6">
        <v>73</v>
      </c>
      <c r="E166" s="6" t="s">
        <v>773</v>
      </c>
      <c r="F166" s="6"/>
      <c r="G166" s="7" t="s">
        <v>35</v>
      </c>
      <c r="H166" s="8">
        <v>45163</v>
      </c>
      <c r="I166" s="7" t="s">
        <v>17</v>
      </c>
      <c r="J166" s="7" t="s">
        <v>23</v>
      </c>
      <c r="K166" s="7" t="s">
        <v>147</v>
      </c>
      <c r="L166" s="7" t="s">
        <v>20</v>
      </c>
      <c r="M166" s="9">
        <v>850</v>
      </c>
      <c r="N166" s="35">
        <v>730</v>
      </c>
    </row>
    <row r="167" spans="1:14" ht="18" customHeight="1" x14ac:dyDescent="0.35">
      <c r="A167" s="26" t="s">
        <v>420</v>
      </c>
      <c r="B167" s="3" t="s">
        <v>421</v>
      </c>
      <c r="C167" s="3" t="str">
        <f>PROPER(TRIM(Table4[[#This Row],[Patient Name]]))</f>
        <v>Anbu Menon</v>
      </c>
      <c r="D167" s="2">
        <v>10</v>
      </c>
      <c r="E167" s="2" t="s">
        <v>773</v>
      </c>
      <c r="F167" s="2"/>
      <c r="G167" s="3" t="s">
        <v>27</v>
      </c>
      <c r="H167" s="4">
        <v>45226</v>
      </c>
      <c r="I167" s="3" t="s">
        <v>48</v>
      </c>
      <c r="J167" s="3" t="s">
        <v>93</v>
      </c>
      <c r="K167" s="3" t="s">
        <v>257</v>
      </c>
      <c r="L167" s="3" t="s">
        <v>141</v>
      </c>
      <c r="M167" s="5">
        <v>800</v>
      </c>
      <c r="N167" s="34">
        <v>460</v>
      </c>
    </row>
    <row r="168" spans="1:14" ht="18" customHeight="1" x14ac:dyDescent="0.35">
      <c r="A168" s="27" t="s">
        <v>422</v>
      </c>
      <c r="B168" s="7" t="s">
        <v>423</v>
      </c>
      <c r="C168" s="7" t="str">
        <f>PROPER(TRIM(Table4[[#This Row],[Patient Name]]))</f>
        <v>Bala Raja</v>
      </c>
      <c r="D168" s="6">
        <v>73</v>
      </c>
      <c r="E168" s="6" t="s">
        <v>772</v>
      </c>
      <c r="F168" s="6"/>
      <c r="G168" s="7" t="s">
        <v>107</v>
      </c>
      <c r="H168" s="8">
        <v>45039</v>
      </c>
      <c r="I168" s="7" t="s">
        <v>17</v>
      </c>
      <c r="J168" s="7" t="s">
        <v>18</v>
      </c>
      <c r="K168" s="7" t="s">
        <v>154</v>
      </c>
      <c r="L168" s="7" t="s">
        <v>20</v>
      </c>
      <c r="M168" s="9">
        <v>850</v>
      </c>
      <c r="N168" s="35">
        <v>670</v>
      </c>
    </row>
    <row r="169" spans="1:14" ht="18" customHeight="1" x14ac:dyDescent="0.35">
      <c r="A169" s="26" t="s">
        <v>424</v>
      </c>
      <c r="B169" s="3" t="s">
        <v>425</v>
      </c>
      <c r="C169" s="3" t="str">
        <f>PROPER(TRIM(Table4[[#This Row],[Patient Name]]))</f>
        <v>Chandra Mani</v>
      </c>
      <c r="D169" s="2">
        <v>21</v>
      </c>
      <c r="E169" s="2" t="s">
        <v>772</v>
      </c>
      <c r="F169" s="2"/>
      <c r="G169" s="3" t="s">
        <v>16</v>
      </c>
      <c r="H169" s="4">
        <v>44984</v>
      </c>
      <c r="I169" s="3" t="s">
        <v>17</v>
      </c>
      <c r="J169" s="3" t="s">
        <v>64</v>
      </c>
      <c r="K169" s="3" t="s">
        <v>154</v>
      </c>
      <c r="L169" s="3" t="s">
        <v>226</v>
      </c>
      <c r="M169" s="5">
        <v>1000</v>
      </c>
      <c r="N169" s="34">
        <v>680</v>
      </c>
    </row>
    <row r="170" spans="1:14" ht="18" customHeight="1" x14ac:dyDescent="0.35">
      <c r="A170" s="27" t="s">
        <v>426</v>
      </c>
      <c r="B170" s="7" t="s">
        <v>427</v>
      </c>
      <c r="C170" s="7" t="str">
        <f>PROPER(TRIM(Table4[[#This Row],[Patient Name]]))</f>
        <v>Durai Raja</v>
      </c>
      <c r="D170" s="6">
        <v>40</v>
      </c>
      <c r="E170" s="6" t="s">
        <v>773</v>
      </c>
      <c r="F170" s="6"/>
      <c r="G170" s="7" t="s">
        <v>107</v>
      </c>
      <c r="H170" s="8">
        <v>45616</v>
      </c>
      <c r="I170" s="7" t="s">
        <v>42</v>
      </c>
      <c r="J170" s="7" t="s">
        <v>43</v>
      </c>
      <c r="K170" s="7" t="s">
        <v>71</v>
      </c>
      <c r="L170" s="7" t="s">
        <v>119</v>
      </c>
      <c r="M170" s="9">
        <v>400</v>
      </c>
      <c r="N170" s="35">
        <v>250</v>
      </c>
    </row>
    <row r="171" spans="1:14" ht="18" customHeight="1" x14ac:dyDescent="0.35">
      <c r="A171" s="26" t="s">
        <v>428</v>
      </c>
      <c r="B171" s="3" t="s">
        <v>429</v>
      </c>
      <c r="C171" s="3" t="str">
        <f>PROPER(TRIM(Table4[[#This Row],[Patient Name]]))</f>
        <v>Ezhil Rao</v>
      </c>
      <c r="D171" s="2">
        <v>22</v>
      </c>
      <c r="E171" s="2" t="s">
        <v>772</v>
      </c>
      <c r="F171" s="2"/>
      <c r="G171" s="3" t="s">
        <v>69</v>
      </c>
      <c r="H171" s="4">
        <v>44940</v>
      </c>
      <c r="I171" s="3" t="s">
        <v>42</v>
      </c>
      <c r="J171" s="3" t="s">
        <v>43</v>
      </c>
      <c r="K171" s="3" t="s">
        <v>110</v>
      </c>
      <c r="L171" s="3" t="s">
        <v>129</v>
      </c>
      <c r="M171" s="5">
        <v>400</v>
      </c>
      <c r="N171" s="34">
        <v>360</v>
      </c>
    </row>
    <row r="172" spans="1:14" ht="18" customHeight="1" x14ac:dyDescent="0.35">
      <c r="A172" s="27" t="s">
        <v>430</v>
      </c>
      <c r="B172" s="7" t="s">
        <v>431</v>
      </c>
      <c r="C172" s="7" t="str">
        <f>PROPER(TRIM(Table4[[#This Row],[Patient Name]]))</f>
        <v>Guna Murugan</v>
      </c>
      <c r="D172" s="6">
        <v>33</v>
      </c>
      <c r="E172" s="6" t="s">
        <v>772</v>
      </c>
      <c r="F172" s="6"/>
      <c r="G172" s="7" t="s">
        <v>27</v>
      </c>
      <c r="H172" s="8">
        <v>45643</v>
      </c>
      <c r="I172" s="7" t="s">
        <v>17</v>
      </c>
      <c r="J172" s="7" t="s">
        <v>23</v>
      </c>
      <c r="K172" s="7" t="s">
        <v>65</v>
      </c>
      <c r="L172" s="7" t="s">
        <v>24</v>
      </c>
      <c r="M172" s="9">
        <v>1100</v>
      </c>
      <c r="N172" s="35">
        <v>500</v>
      </c>
    </row>
    <row r="173" spans="1:14" ht="18" customHeight="1" x14ac:dyDescent="0.35">
      <c r="A173" s="26" t="s">
        <v>432</v>
      </c>
      <c r="B173" s="3" t="s">
        <v>433</v>
      </c>
      <c r="C173" s="3" t="str">
        <f>PROPER(TRIM(Table4[[#This Row],[Patient Name]]))</f>
        <v>Hari Verma</v>
      </c>
      <c r="D173" s="2">
        <v>50</v>
      </c>
      <c r="E173" s="2" t="s">
        <v>773</v>
      </c>
      <c r="F173" s="2"/>
      <c r="G173" s="3" t="s">
        <v>27</v>
      </c>
      <c r="H173" s="4">
        <v>45113</v>
      </c>
      <c r="I173" s="3" t="s">
        <v>36</v>
      </c>
      <c r="J173" s="3" t="s">
        <v>81</v>
      </c>
      <c r="K173" s="3" t="s">
        <v>144</v>
      </c>
      <c r="L173" s="3" t="s">
        <v>189</v>
      </c>
      <c r="M173" s="5">
        <v>950</v>
      </c>
      <c r="N173" s="34">
        <v>680</v>
      </c>
    </row>
    <row r="174" spans="1:14" ht="18" customHeight="1" x14ac:dyDescent="0.35">
      <c r="A174" s="27" t="s">
        <v>434</v>
      </c>
      <c r="B174" s="7" t="s">
        <v>435</v>
      </c>
      <c r="C174" s="7" t="str">
        <f>PROPER(TRIM(Table4[[#This Row],[Patient Name]]))</f>
        <v>Indu Narayanan</v>
      </c>
      <c r="D174" s="6">
        <v>30</v>
      </c>
      <c r="E174" s="6" t="s">
        <v>773</v>
      </c>
      <c r="F174" s="6"/>
      <c r="G174" s="7" t="s">
        <v>69</v>
      </c>
      <c r="H174" s="8">
        <v>45317</v>
      </c>
      <c r="I174" s="7" t="s">
        <v>17</v>
      </c>
      <c r="J174" s="7" t="s">
        <v>18</v>
      </c>
      <c r="K174" s="7" t="s">
        <v>19</v>
      </c>
      <c r="L174" s="7" t="s">
        <v>148</v>
      </c>
      <c r="M174" s="9">
        <v>800</v>
      </c>
      <c r="N174" s="35">
        <v>420</v>
      </c>
    </row>
    <row r="175" spans="1:14" ht="18" customHeight="1" x14ac:dyDescent="0.35">
      <c r="A175" s="26" t="s">
        <v>436</v>
      </c>
      <c r="B175" s="3" t="s">
        <v>437</v>
      </c>
      <c r="C175" s="3" t="str">
        <f>PROPER(TRIM(Table4[[#This Row],[Patient Name]]))</f>
        <v>Jothi Reddy</v>
      </c>
      <c r="D175" s="2">
        <v>59</v>
      </c>
      <c r="E175" s="2" t="s">
        <v>772</v>
      </c>
      <c r="F175" s="2"/>
      <c r="G175" s="3" t="s">
        <v>16</v>
      </c>
      <c r="H175" s="4">
        <v>45370</v>
      </c>
      <c r="I175" s="3" t="s">
        <v>36</v>
      </c>
      <c r="J175" s="3" t="s">
        <v>81</v>
      </c>
      <c r="K175" s="3" t="s">
        <v>144</v>
      </c>
      <c r="L175" s="3" t="s">
        <v>133</v>
      </c>
      <c r="M175" s="5">
        <v>650</v>
      </c>
      <c r="N175" s="34">
        <v>230</v>
      </c>
    </row>
    <row r="176" spans="1:14" ht="18" customHeight="1" x14ac:dyDescent="0.35">
      <c r="A176" s="27" t="s">
        <v>438</v>
      </c>
      <c r="B176" s="7" t="s">
        <v>439</v>
      </c>
      <c r="C176" s="7" t="str">
        <f>PROPER(TRIM(Table4[[#This Row],[Patient Name]]))</f>
        <v>Kamal Narayanan</v>
      </c>
      <c r="D176" s="6">
        <v>5</v>
      </c>
      <c r="E176" s="6" t="s">
        <v>773</v>
      </c>
      <c r="F176" s="6"/>
      <c r="G176" s="7" t="s">
        <v>27</v>
      </c>
      <c r="H176" s="8">
        <v>45587</v>
      </c>
      <c r="I176" s="7" t="s">
        <v>17</v>
      </c>
      <c r="J176" s="7" t="s">
        <v>23</v>
      </c>
      <c r="K176" s="7" t="s">
        <v>65</v>
      </c>
      <c r="L176" s="7" t="s">
        <v>148</v>
      </c>
      <c r="M176" s="9">
        <v>750</v>
      </c>
      <c r="N176" s="35">
        <v>310</v>
      </c>
    </row>
    <row r="177" spans="1:14" ht="18" customHeight="1" x14ac:dyDescent="0.35">
      <c r="A177" s="26" t="s">
        <v>440</v>
      </c>
      <c r="B177" s="3" t="s">
        <v>441</v>
      </c>
      <c r="C177" s="3" t="str">
        <f>PROPER(TRIM(Table4[[#This Row],[Patient Name]]))</f>
        <v>Lekha Subramanian</v>
      </c>
      <c r="D177" s="2">
        <v>21</v>
      </c>
      <c r="E177" s="2" t="s">
        <v>772</v>
      </c>
      <c r="F177" s="2"/>
      <c r="G177" s="3" t="s">
        <v>107</v>
      </c>
      <c r="H177" s="4">
        <v>45518</v>
      </c>
      <c r="I177" s="3" t="s">
        <v>42</v>
      </c>
      <c r="J177" s="3" t="s">
        <v>43</v>
      </c>
      <c r="K177" s="3" t="s">
        <v>71</v>
      </c>
      <c r="L177" s="3" t="s">
        <v>72</v>
      </c>
      <c r="M177" s="5">
        <v>450</v>
      </c>
      <c r="N177" s="34">
        <v>330</v>
      </c>
    </row>
    <row r="178" spans="1:14" ht="18" customHeight="1" x14ac:dyDescent="0.35">
      <c r="A178" s="27" t="s">
        <v>442</v>
      </c>
      <c r="B178" s="7" t="s">
        <v>443</v>
      </c>
      <c r="C178" s="7" t="str">
        <f>PROPER(TRIM(Table4[[#This Row],[Patient Name]]))</f>
        <v>Malar Singh</v>
      </c>
      <c r="D178" s="6">
        <v>11</v>
      </c>
      <c r="E178" s="6" t="s">
        <v>772</v>
      </c>
      <c r="F178" s="6"/>
      <c r="G178" s="7" t="s">
        <v>27</v>
      </c>
      <c r="H178" s="8">
        <v>45005</v>
      </c>
      <c r="I178" s="7" t="s">
        <v>48</v>
      </c>
      <c r="J178" s="7" t="s">
        <v>93</v>
      </c>
      <c r="K178" s="7" t="s">
        <v>50</v>
      </c>
      <c r="L178" s="7" t="s">
        <v>114</v>
      </c>
      <c r="M178" s="9">
        <v>650</v>
      </c>
      <c r="N178" s="35">
        <v>420</v>
      </c>
    </row>
    <row r="179" spans="1:14" ht="18" customHeight="1" x14ac:dyDescent="0.35">
      <c r="A179" s="26" t="s">
        <v>444</v>
      </c>
      <c r="B179" s="3" t="s">
        <v>445</v>
      </c>
      <c r="C179" s="3" t="str">
        <f>PROPER(TRIM(Table4[[#This Row],[Patient Name]]))</f>
        <v>Naga Reddy</v>
      </c>
      <c r="D179" s="2">
        <v>50</v>
      </c>
      <c r="E179" s="2" t="s">
        <v>772</v>
      </c>
      <c r="F179" s="2"/>
      <c r="G179" s="3" t="s">
        <v>35</v>
      </c>
      <c r="H179" s="4">
        <v>45232</v>
      </c>
      <c r="I179" s="3" t="s">
        <v>42</v>
      </c>
      <c r="J179" s="3" t="s">
        <v>43</v>
      </c>
      <c r="K179" s="3" t="s">
        <v>44</v>
      </c>
      <c r="L179" s="3" t="s">
        <v>45</v>
      </c>
      <c r="M179" s="5">
        <v>400</v>
      </c>
      <c r="N179" s="34">
        <v>100</v>
      </c>
    </row>
    <row r="180" spans="1:14" ht="18" customHeight="1" x14ac:dyDescent="0.35">
      <c r="A180" s="27" t="s">
        <v>446</v>
      </c>
      <c r="B180" s="7" t="s">
        <v>447</v>
      </c>
      <c r="C180" s="7" t="str">
        <f>PROPER(TRIM(Table4[[#This Row],[Patient Name]]))</f>
        <v>Oviya Rajan</v>
      </c>
      <c r="D180" s="6">
        <v>24</v>
      </c>
      <c r="E180" s="6" t="s">
        <v>773</v>
      </c>
      <c r="F180" s="6"/>
      <c r="G180" s="7" t="s">
        <v>27</v>
      </c>
      <c r="H180" s="8">
        <v>45568</v>
      </c>
      <c r="I180" s="7" t="s">
        <v>17</v>
      </c>
      <c r="J180" s="7" t="s">
        <v>23</v>
      </c>
      <c r="K180" s="7" t="s">
        <v>65</v>
      </c>
      <c r="L180" s="7" t="s">
        <v>148</v>
      </c>
      <c r="M180" s="9">
        <v>800</v>
      </c>
      <c r="N180" s="35">
        <v>840</v>
      </c>
    </row>
    <row r="181" spans="1:14" ht="18" customHeight="1" x14ac:dyDescent="0.35">
      <c r="A181" s="26" t="s">
        <v>448</v>
      </c>
      <c r="B181" s="3" t="s">
        <v>449</v>
      </c>
      <c r="C181" s="3" t="str">
        <f>PROPER(TRIM(Table4[[#This Row],[Patient Name]]))</f>
        <v>Pari Verma</v>
      </c>
      <c r="D181" s="2">
        <v>23</v>
      </c>
      <c r="E181" s="2" t="s">
        <v>773</v>
      </c>
      <c r="F181" s="2"/>
      <c r="G181" s="3" t="s">
        <v>16</v>
      </c>
      <c r="H181" s="4">
        <v>45392</v>
      </c>
      <c r="I181" s="3" t="s">
        <v>42</v>
      </c>
      <c r="J181" s="3" t="s">
        <v>89</v>
      </c>
      <c r="K181" s="3" t="s">
        <v>136</v>
      </c>
      <c r="L181" s="3" t="s">
        <v>86</v>
      </c>
      <c r="M181" s="5">
        <v>500</v>
      </c>
      <c r="N181" s="34">
        <v>130</v>
      </c>
    </row>
    <row r="182" spans="1:14" ht="18" customHeight="1" x14ac:dyDescent="0.35">
      <c r="A182" s="27" t="s">
        <v>450</v>
      </c>
      <c r="B182" s="7" t="s">
        <v>451</v>
      </c>
      <c r="C182" s="7" t="str">
        <f>PROPER(TRIM(Table4[[#This Row],[Patient Name]]))</f>
        <v>Raja Mani</v>
      </c>
      <c r="D182" s="6">
        <v>57</v>
      </c>
      <c r="E182" s="6" t="s">
        <v>773</v>
      </c>
      <c r="F182" s="6"/>
      <c r="G182" s="7" t="s">
        <v>27</v>
      </c>
      <c r="H182" s="8">
        <v>45476</v>
      </c>
      <c r="I182" s="7" t="s">
        <v>17</v>
      </c>
      <c r="J182" s="7" t="s">
        <v>23</v>
      </c>
      <c r="K182" s="7" t="s">
        <v>154</v>
      </c>
      <c r="L182" s="7" t="s">
        <v>66</v>
      </c>
      <c r="M182" s="9">
        <v>750</v>
      </c>
      <c r="N182" s="35">
        <v>640</v>
      </c>
    </row>
    <row r="183" spans="1:14" ht="18" customHeight="1" x14ac:dyDescent="0.35">
      <c r="A183" s="26" t="s">
        <v>452</v>
      </c>
      <c r="B183" s="3" t="s">
        <v>453</v>
      </c>
      <c r="C183" s="3" t="str">
        <f>PROPER(TRIM(Table4[[#This Row],[Patient Name]]))</f>
        <v>Suba Patel</v>
      </c>
      <c r="D183" s="2">
        <v>31</v>
      </c>
      <c r="E183" s="2" t="s">
        <v>772</v>
      </c>
      <c r="F183" s="2"/>
      <c r="G183" s="3" t="s">
        <v>27</v>
      </c>
      <c r="H183" s="4">
        <v>45163</v>
      </c>
      <c r="I183" s="3" t="s">
        <v>42</v>
      </c>
      <c r="J183" s="3" t="s">
        <v>70</v>
      </c>
      <c r="K183" s="3" t="s">
        <v>85</v>
      </c>
      <c r="L183" s="3" t="s">
        <v>129</v>
      </c>
      <c r="M183" s="5">
        <v>450</v>
      </c>
      <c r="N183" s="34">
        <v>190</v>
      </c>
    </row>
    <row r="184" spans="1:14" ht="18" customHeight="1" x14ac:dyDescent="0.35">
      <c r="A184" s="27" t="s">
        <v>454</v>
      </c>
      <c r="B184" s="7" t="s">
        <v>455</v>
      </c>
      <c r="C184" s="7" t="str">
        <f>PROPER(TRIM(Table4[[#This Row],[Patient Name]]))</f>
        <v>Tamil Chandran</v>
      </c>
      <c r="D184" s="6">
        <v>72</v>
      </c>
      <c r="E184" s="6" t="s">
        <v>772</v>
      </c>
      <c r="F184" s="6"/>
      <c r="G184" s="7" t="s">
        <v>16</v>
      </c>
      <c r="H184" s="8">
        <v>45311</v>
      </c>
      <c r="I184" s="7" t="s">
        <v>48</v>
      </c>
      <c r="J184" s="7" t="s">
        <v>54</v>
      </c>
      <c r="K184" s="7" t="s">
        <v>55</v>
      </c>
      <c r="L184" s="7" t="s">
        <v>114</v>
      </c>
      <c r="M184" s="9">
        <v>800</v>
      </c>
      <c r="N184" s="35">
        <v>180</v>
      </c>
    </row>
    <row r="185" spans="1:14" ht="18" customHeight="1" x14ac:dyDescent="0.35">
      <c r="A185" s="26" t="s">
        <v>456</v>
      </c>
      <c r="B185" s="3" t="s">
        <v>457</v>
      </c>
      <c r="C185" s="3" t="str">
        <f>PROPER(TRIM(Table4[[#This Row],[Patient Name]]))</f>
        <v>Vani Balan</v>
      </c>
      <c r="D185" s="2">
        <v>68</v>
      </c>
      <c r="E185" s="2" t="s">
        <v>773</v>
      </c>
      <c r="F185" s="2"/>
      <c r="G185" s="3" t="s">
        <v>69</v>
      </c>
      <c r="H185" s="4">
        <v>45278</v>
      </c>
      <c r="I185" s="3" t="s">
        <v>42</v>
      </c>
      <c r="J185" s="3" t="s">
        <v>43</v>
      </c>
      <c r="K185" s="3" t="s">
        <v>85</v>
      </c>
      <c r="L185" s="3" t="s">
        <v>129</v>
      </c>
      <c r="M185" s="5">
        <v>300</v>
      </c>
      <c r="N185" s="34">
        <v>370</v>
      </c>
    </row>
    <row r="186" spans="1:14" ht="18" customHeight="1" x14ac:dyDescent="0.35">
      <c r="A186" s="27" t="s">
        <v>458</v>
      </c>
      <c r="B186" s="7" t="s">
        <v>459</v>
      </c>
      <c r="C186" s="7" t="str">
        <f>PROPER(TRIM(Table4[[#This Row],[Patient Name]]))</f>
        <v>Yamuna Pillai</v>
      </c>
      <c r="D186" s="6">
        <v>15</v>
      </c>
      <c r="E186" s="6" t="s">
        <v>773</v>
      </c>
      <c r="F186" s="6"/>
      <c r="G186" s="7" t="s">
        <v>80</v>
      </c>
      <c r="H186" s="8">
        <v>45261</v>
      </c>
      <c r="I186" s="7" t="s">
        <v>17</v>
      </c>
      <c r="J186" s="7" t="s">
        <v>64</v>
      </c>
      <c r="K186" s="7" t="s">
        <v>147</v>
      </c>
      <c r="L186" s="7" t="s">
        <v>24</v>
      </c>
      <c r="M186" s="9">
        <v>1150</v>
      </c>
      <c r="N186" s="35">
        <v>600</v>
      </c>
    </row>
    <row r="187" spans="1:14" ht="18" customHeight="1" x14ac:dyDescent="0.35">
      <c r="A187" s="26" t="s">
        <v>460</v>
      </c>
      <c r="B187" s="3" t="s">
        <v>461</v>
      </c>
      <c r="C187" s="3" t="str">
        <f>PROPER(TRIM(Table4[[#This Row],[Patient Name]]))</f>
        <v>Abinaya Singh</v>
      </c>
      <c r="D187" s="2">
        <v>6</v>
      </c>
      <c r="E187" s="2" t="s">
        <v>772</v>
      </c>
      <c r="F187" s="2"/>
      <c r="G187" s="3" t="s">
        <v>16</v>
      </c>
      <c r="H187" s="4">
        <v>45286</v>
      </c>
      <c r="I187" s="3" t="s">
        <v>36</v>
      </c>
      <c r="J187" s="3" t="s">
        <v>37</v>
      </c>
      <c r="K187" s="3" t="s">
        <v>104</v>
      </c>
      <c r="L187" s="3" t="s">
        <v>133</v>
      </c>
      <c r="M187" s="5">
        <v>600</v>
      </c>
      <c r="N187" s="34">
        <v>220</v>
      </c>
    </row>
    <row r="188" spans="1:14" ht="18" customHeight="1" x14ac:dyDescent="0.35">
      <c r="A188" s="27" t="s">
        <v>462</v>
      </c>
      <c r="B188" s="7" t="s">
        <v>463</v>
      </c>
      <c r="C188" s="7" t="str">
        <f>PROPER(TRIM(Table4[[#This Row],[Patient Name]]))</f>
        <v>Boopathi Subramanian</v>
      </c>
      <c r="D188" s="6">
        <v>4</v>
      </c>
      <c r="E188" s="6" t="s">
        <v>772</v>
      </c>
      <c r="F188" s="6"/>
      <c r="G188" s="7" t="s">
        <v>80</v>
      </c>
      <c r="H188" s="8">
        <v>45479</v>
      </c>
      <c r="I188" s="7" t="s">
        <v>48</v>
      </c>
      <c r="J188" s="7" t="s">
        <v>93</v>
      </c>
      <c r="K188" s="7" t="s">
        <v>94</v>
      </c>
      <c r="L188" s="7" t="s">
        <v>56</v>
      </c>
      <c r="M188" s="9">
        <v>850</v>
      </c>
      <c r="N188" s="35">
        <v>480</v>
      </c>
    </row>
    <row r="189" spans="1:14" ht="18" customHeight="1" x14ac:dyDescent="0.35">
      <c r="A189" s="26" t="s">
        <v>464</v>
      </c>
      <c r="B189" s="3" t="s">
        <v>465</v>
      </c>
      <c r="C189" s="3" t="str">
        <f>PROPER(TRIM(Table4[[#This Row],[Patient Name]]))</f>
        <v>Chelvi Verma</v>
      </c>
      <c r="D189" s="2">
        <v>5</v>
      </c>
      <c r="E189" s="2" t="s">
        <v>772</v>
      </c>
      <c r="F189" s="2"/>
      <c r="G189" s="3" t="s">
        <v>107</v>
      </c>
      <c r="H189" s="4">
        <v>45436</v>
      </c>
      <c r="I189" s="3" t="s">
        <v>42</v>
      </c>
      <c r="J189" s="3" t="s">
        <v>70</v>
      </c>
      <c r="K189" s="3" t="s">
        <v>71</v>
      </c>
      <c r="L189" s="3" t="s">
        <v>129</v>
      </c>
      <c r="M189" s="5">
        <v>400</v>
      </c>
      <c r="N189" s="34">
        <v>180</v>
      </c>
    </row>
    <row r="190" spans="1:14" ht="18" customHeight="1" x14ac:dyDescent="0.35">
      <c r="A190" s="27" t="s">
        <v>466</v>
      </c>
      <c r="B190" s="7" t="s">
        <v>467</v>
      </c>
      <c r="C190" s="7" t="str">
        <f>PROPER(TRIM(Table4[[#This Row],[Patient Name]]))</f>
        <v>Deva Subramanian</v>
      </c>
      <c r="D190" s="6">
        <v>73</v>
      </c>
      <c r="E190" s="6" t="s">
        <v>773</v>
      </c>
      <c r="F190" s="6"/>
      <c r="G190" s="7" t="s">
        <v>16</v>
      </c>
      <c r="H190" s="8">
        <v>45042</v>
      </c>
      <c r="I190" s="7" t="s">
        <v>42</v>
      </c>
      <c r="J190" s="7" t="s">
        <v>89</v>
      </c>
      <c r="K190" s="7" t="s">
        <v>136</v>
      </c>
      <c r="L190" s="7" t="s">
        <v>197</v>
      </c>
      <c r="M190" s="9">
        <v>450</v>
      </c>
      <c r="N190" s="35">
        <v>190</v>
      </c>
    </row>
    <row r="191" spans="1:14" ht="18" customHeight="1" x14ac:dyDescent="0.35">
      <c r="A191" s="26" t="s">
        <v>468</v>
      </c>
      <c r="B191" s="3" t="s">
        <v>469</v>
      </c>
      <c r="C191" s="3" t="str">
        <f>PROPER(TRIM(Table4[[#This Row],[Patient Name]]))</f>
        <v>Elaya Mani</v>
      </c>
      <c r="D191" s="2">
        <v>69</v>
      </c>
      <c r="E191" s="2" t="s">
        <v>773</v>
      </c>
      <c r="F191" s="2"/>
      <c r="G191" s="3" t="s">
        <v>107</v>
      </c>
      <c r="H191" s="4">
        <v>45580</v>
      </c>
      <c r="I191" s="3" t="s">
        <v>17</v>
      </c>
      <c r="J191" s="3" t="s">
        <v>23</v>
      </c>
      <c r="K191" s="3" t="s">
        <v>154</v>
      </c>
      <c r="L191" s="3" t="s">
        <v>148</v>
      </c>
      <c r="M191" s="5">
        <v>1050</v>
      </c>
      <c r="N191" s="34">
        <v>790</v>
      </c>
    </row>
    <row r="192" spans="1:14" ht="18" customHeight="1" x14ac:dyDescent="0.35">
      <c r="A192" s="27" t="s">
        <v>470</v>
      </c>
      <c r="B192" s="7" t="s">
        <v>471</v>
      </c>
      <c r="C192" s="7" t="str">
        <f>PROPER(TRIM(Table4[[#This Row],[Patient Name]]))</f>
        <v>Guru Pandian</v>
      </c>
      <c r="D192" s="6">
        <v>18</v>
      </c>
      <c r="E192" s="6" t="s">
        <v>772</v>
      </c>
      <c r="F192" s="6"/>
      <c r="G192" s="7" t="s">
        <v>107</v>
      </c>
      <c r="H192" s="8">
        <v>45537</v>
      </c>
      <c r="I192" s="7" t="s">
        <v>42</v>
      </c>
      <c r="J192" s="7" t="s">
        <v>89</v>
      </c>
      <c r="K192" s="7" t="s">
        <v>85</v>
      </c>
      <c r="L192" s="7" t="s">
        <v>45</v>
      </c>
      <c r="M192" s="9">
        <v>350</v>
      </c>
      <c r="N192" s="35">
        <v>310</v>
      </c>
    </row>
    <row r="193" spans="1:14" ht="18" customHeight="1" x14ac:dyDescent="0.35">
      <c r="A193" s="26" t="s">
        <v>472</v>
      </c>
      <c r="B193" s="3" t="s">
        <v>473</v>
      </c>
      <c r="C193" s="3" t="str">
        <f>PROPER(TRIM(Table4[[#This Row],[Patient Name]]))</f>
        <v>Haran Iyer</v>
      </c>
      <c r="D193" s="2">
        <v>36</v>
      </c>
      <c r="E193" s="2" t="s">
        <v>772</v>
      </c>
      <c r="F193" s="2"/>
      <c r="G193" s="3" t="s">
        <v>69</v>
      </c>
      <c r="H193" s="4">
        <v>44991</v>
      </c>
      <c r="I193" s="3" t="s">
        <v>17</v>
      </c>
      <c r="J193" s="3" t="s">
        <v>23</v>
      </c>
      <c r="K193" s="3" t="s">
        <v>147</v>
      </c>
      <c r="L193" s="3" t="s">
        <v>226</v>
      </c>
      <c r="M193" s="5">
        <v>950</v>
      </c>
      <c r="N193" s="34">
        <v>600</v>
      </c>
    </row>
    <row r="194" spans="1:14" ht="18" customHeight="1" x14ac:dyDescent="0.35">
      <c r="A194" s="27" t="s">
        <v>474</v>
      </c>
      <c r="B194" s="7" t="s">
        <v>475</v>
      </c>
      <c r="C194" s="7" t="str">
        <f>PROPER(TRIM(Table4[[#This Row],[Patient Name]]))</f>
        <v>Ilavarsi Verma</v>
      </c>
      <c r="D194" s="6">
        <v>65</v>
      </c>
      <c r="E194" s="6" t="s">
        <v>773</v>
      </c>
      <c r="F194" s="6"/>
      <c r="G194" s="7" t="s">
        <v>69</v>
      </c>
      <c r="H194" s="8">
        <v>45306</v>
      </c>
      <c r="I194" s="7" t="s">
        <v>17</v>
      </c>
      <c r="J194" s="7" t="s">
        <v>23</v>
      </c>
      <c r="K194" s="7" t="s">
        <v>147</v>
      </c>
      <c r="L194" s="7" t="s">
        <v>24</v>
      </c>
      <c r="M194" s="9">
        <v>1050</v>
      </c>
      <c r="N194" s="35">
        <v>480</v>
      </c>
    </row>
    <row r="195" spans="1:14" ht="18" customHeight="1" x14ac:dyDescent="0.35">
      <c r="A195" s="26" t="s">
        <v>476</v>
      </c>
      <c r="B195" s="3" t="s">
        <v>477</v>
      </c>
      <c r="C195" s="3" t="str">
        <f>PROPER(TRIM(Table4[[#This Row],[Patient Name]]))</f>
        <v>Jeeva Murugan</v>
      </c>
      <c r="D195" s="2">
        <v>53</v>
      </c>
      <c r="E195" s="2" t="s">
        <v>773</v>
      </c>
      <c r="F195" s="2"/>
      <c r="G195" s="3" t="s">
        <v>80</v>
      </c>
      <c r="H195" s="4">
        <v>45315</v>
      </c>
      <c r="I195" s="3" t="s">
        <v>17</v>
      </c>
      <c r="J195" s="3" t="s">
        <v>23</v>
      </c>
      <c r="K195" s="3" t="s">
        <v>19</v>
      </c>
      <c r="L195" s="3" t="s">
        <v>24</v>
      </c>
      <c r="M195" s="5">
        <v>900</v>
      </c>
      <c r="N195" s="34">
        <v>600</v>
      </c>
    </row>
    <row r="196" spans="1:14" ht="18" customHeight="1" x14ac:dyDescent="0.35">
      <c r="A196" s="27" t="s">
        <v>478</v>
      </c>
      <c r="B196" s="7" t="s">
        <v>479</v>
      </c>
      <c r="C196" s="7" t="str">
        <f>PROPER(TRIM(Table4[[#This Row],[Patient Name]]))</f>
        <v>Kavi Mani</v>
      </c>
      <c r="D196" s="6">
        <v>33</v>
      </c>
      <c r="E196" s="6" t="s">
        <v>773</v>
      </c>
      <c r="F196" s="6"/>
      <c r="G196" s="7" t="s">
        <v>16</v>
      </c>
      <c r="H196" s="8">
        <v>45350</v>
      </c>
      <c r="I196" s="7" t="s">
        <v>42</v>
      </c>
      <c r="J196" s="7" t="s">
        <v>70</v>
      </c>
      <c r="K196" s="7" t="s">
        <v>44</v>
      </c>
      <c r="L196" s="7" t="s">
        <v>197</v>
      </c>
      <c r="M196" s="9">
        <v>400</v>
      </c>
      <c r="N196" s="35">
        <v>350</v>
      </c>
    </row>
    <row r="197" spans="1:14" ht="18" customHeight="1" x14ac:dyDescent="0.35">
      <c r="A197" s="26" t="s">
        <v>480</v>
      </c>
      <c r="B197" s="3" t="s">
        <v>481</v>
      </c>
      <c r="C197" s="3" t="str">
        <f>PROPER(TRIM(Table4[[#This Row],[Patient Name]]))</f>
        <v>Aarav Mani</v>
      </c>
      <c r="D197" s="2">
        <v>51</v>
      </c>
      <c r="E197" s="2" t="s">
        <v>772</v>
      </c>
      <c r="F197" s="2"/>
      <c r="G197" s="3" t="s">
        <v>80</v>
      </c>
      <c r="H197" s="4">
        <v>45154</v>
      </c>
      <c r="I197" s="3" t="s">
        <v>42</v>
      </c>
      <c r="J197" s="3" t="s">
        <v>43</v>
      </c>
      <c r="K197" s="3" t="s">
        <v>110</v>
      </c>
      <c r="L197" s="3" t="s">
        <v>90</v>
      </c>
      <c r="M197" s="5">
        <v>500</v>
      </c>
      <c r="N197" s="34">
        <v>310</v>
      </c>
    </row>
    <row r="198" spans="1:14" ht="18" customHeight="1" x14ac:dyDescent="0.35">
      <c r="A198" s="27" t="s">
        <v>482</v>
      </c>
      <c r="B198" s="7" t="s">
        <v>483</v>
      </c>
      <c r="C198" s="7" t="str">
        <f>PROPER(TRIM(Table4[[#This Row],[Patient Name]]))</f>
        <v>Bhavya Pandian</v>
      </c>
      <c r="D198" s="6">
        <v>18</v>
      </c>
      <c r="E198" s="6" t="s">
        <v>772</v>
      </c>
      <c r="F198" s="6"/>
      <c r="G198" s="7" t="s">
        <v>27</v>
      </c>
      <c r="H198" s="8">
        <v>45194</v>
      </c>
      <c r="I198" s="7" t="s">
        <v>36</v>
      </c>
      <c r="J198" s="7" t="s">
        <v>75</v>
      </c>
      <c r="K198" s="7" t="s">
        <v>104</v>
      </c>
      <c r="L198" s="7" t="s">
        <v>82</v>
      </c>
      <c r="M198" s="9">
        <v>900</v>
      </c>
      <c r="N198" s="35">
        <v>230</v>
      </c>
    </row>
    <row r="199" spans="1:14" ht="18" customHeight="1" x14ac:dyDescent="0.35">
      <c r="A199" s="26" t="s">
        <v>484</v>
      </c>
      <c r="B199" s="3" t="s">
        <v>485</v>
      </c>
      <c r="C199" s="3" t="str">
        <f>PROPER(TRIM(Table4[[#This Row],[Patient Name]]))</f>
        <v>Chirag Pandian</v>
      </c>
      <c r="D199" s="2">
        <v>44</v>
      </c>
      <c r="E199" s="2" t="s">
        <v>772</v>
      </c>
      <c r="F199" s="2"/>
      <c r="G199" s="3" t="s">
        <v>69</v>
      </c>
      <c r="H199" s="4">
        <v>45641</v>
      </c>
      <c r="I199" s="3" t="s">
        <v>48</v>
      </c>
      <c r="J199" s="3" t="s">
        <v>54</v>
      </c>
      <c r="K199" s="3" t="s">
        <v>50</v>
      </c>
      <c r="L199" s="3" t="s">
        <v>141</v>
      </c>
      <c r="M199" s="5">
        <v>600</v>
      </c>
      <c r="N199" s="34">
        <v>320</v>
      </c>
    </row>
    <row r="200" spans="1:14" ht="18" customHeight="1" x14ac:dyDescent="0.35">
      <c r="A200" s="27" t="s">
        <v>486</v>
      </c>
      <c r="B200" s="7" t="s">
        <v>487</v>
      </c>
      <c r="C200" s="7" t="str">
        <f>PROPER(TRIM(Table4[[#This Row],[Patient Name]]))</f>
        <v>Deepa Mani</v>
      </c>
      <c r="D200" s="6">
        <v>13</v>
      </c>
      <c r="E200" s="6" t="s">
        <v>772</v>
      </c>
      <c r="F200" s="6"/>
      <c r="G200" s="7" t="s">
        <v>80</v>
      </c>
      <c r="H200" s="8">
        <v>45135</v>
      </c>
      <c r="I200" s="7" t="s">
        <v>48</v>
      </c>
      <c r="J200" s="7" t="s">
        <v>49</v>
      </c>
      <c r="K200" s="7" t="s">
        <v>55</v>
      </c>
      <c r="L200" s="7" t="s">
        <v>51</v>
      </c>
      <c r="M200" s="9">
        <v>850</v>
      </c>
      <c r="N200" s="35">
        <v>290</v>
      </c>
    </row>
    <row r="201" spans="1:14" ht="18" customHeight="1" x14ac:dyDescent="0.35">
      <c r="A201" s="26" t="s">
        <v>488</v>
      </c>
      <c r="B201" s="3" t="s">
        <v>489</v>
      </c>
      <c r="C201" s="3" t="str">
        <f>PROPER(TRIM(Table4[[#This Row],[Patient Name]]))</f>
        <v>Elan Raja</v>
      </c>
      <c r="D201" s="2">
        <v>17</v>
      </c>
      <c r="E201" s="2" t="s">
        <v>773</v>
      </c>
      <c r="F201" s="2"/>
      <c r="G201" s="3" t="s">
        <v>27</v>
      </c>
      <c r="H201" s="4">
        <v>45538</v>
      </c>
      <c r="I201" s="3" t="s">
        <v>42</v>
      </c>
      <c r="J201" s="3" t="s">
        <v>89</v>
      </c>
      <c r="K201" s="3" t="s">
        <v>136</v>
      </c>
      <c r="L201" s="3" t="s">
        <v>86</v>
      </c>
      <c r="M201" s="5">
        <v>400</v>
      </c>
      <c r="N201" s="34">
        <v>300</v>
      </c>
    </row>
    <row r="202" spans="1:14" ht="18" customHeight="1" x14ac:dyDescent="0.35">
      <c r="A202" s="27" t="s">
        <v>490</v>
      </c>
      <c r="B202" s="7" t="s">
        <v>491</v>
      </c>
      <c r="C202" s="7" t="str">
        <f>PROPER(TRIM(Table4[[#This Row],[Patient Name]]))</f>
        <v>Fatima Narayanan</v>
      </c>
      <c r="D202" s="6">
        <v>76</v>
      </c>
      <c r="E202" s="6" t="s">
        <v>772</v>
      </c>
      <c r="F202" s="6"/>
      <c r="G202" s="7" t="s">
        <v>80</v>
      </c>
      <c r="H202" s="8">
        <v>45590</v>
      </c>
      <c r="I202" s="7" t="s">
        <v>28</v>
      </c>
      <c r="J202" s="7" t="s">
        <v>29</v>
      </c>
      <c r="K202" s="7" t="s">
        <v>174</v>
      </c>
      <c r="L202" s="7" t="s">
        <v>298</v>
      </c>
      <c r="M202" s="9">
        <v>650</v>
      </c>
      <c r="N202" s="35">
        <v>210</v>
      </c>
    </row>
    <row r="203" spans="1:14" ht="18" customHeight="1" x14ac:dyDescent="0.35">
      <c r="A203" s="26" t="s">
        <v>492</v>
      </c>
      <c r="B203" s="3" t="s">
        <v>493</v>
      </c>
      <c r="C203" s="3" t="str">
        <f>PROPER(TRIM(Table4[[#This Row],[Patient Name]]))</f>
        <v>Ganesh Menon</v>
      </c>
      <c r="D203" s="2">
        <v>6</v>
      </c>
      <c r="E203" s="2" t="s">
        <v>773</v>
      </c>
      <c r="F203" s="2"/>
      <c r="G203" s="3" t="s">
        <v>80</v>
      </c>
      <c r="H203" s="4">
        <v>45140</v>
      </c>
      <c r="I203" s="3" t="s">
        <v>48</v>
      </c>
      <c r="J203" s="3" t="s">
        <v>54</v>
      </c>
      <c r="K203" s="3" t="s">
        <v>151</v>
      </c>
      <c r="L203" s="3" t="s">
        <v>51</v>
      </c>
      <c r="M203" s="5">
        <v>800</v>
      </c>
      <c r="N203" s="34">
        <v>240</v>
      </c>
    </row>
    <row r="204" spans="1:14" ht="18" customHeight="1" x14ac:dyDescent="0.35">
      <c r="A204" s="27" t="s">
        <v>494</v>
      </c>
      <c r="B204" s="7" t="s">
        <v>495</v>
      </c>
      <c r="C204" s="7" t="str">
        <f>PROPER(TRIM(Table4[[#This Row],[Patient Name]]))</f>
        <v>Heena Murugan</v>
      </c>
      <c r="D204" s="6">
        <v>74</v>
      </c>
      <c r="E204" s="6" t="s">
        <v>773</v>
      </c>
      <c r="F204" s="6"/>
      <c r="G204" s="7" t="s">
        <v>27</v>
      </c>
      <c r="H204" s="8">
        <v>45161</v>
      </c>
      <c r="I204" s="7" t="s">
        <v>48</v>
      </c>
      <c r="J204" s="7" t="s">
        <v>93</v>
      </c>
      <c r="K204" s="7" t="s">
        <v>94</v>
      </c>
      <c r="L204" s="7" t="s">
        <v>95</v>
      </c>
      <c r="M204" s="9">
        <v>600</v>
      </c>
      <c r="N204" s="35">
        <v>210</v>
      </c>
    </row>
    <row r="205" spans="1:14" ht="18" customHeight="1" x14ac:dyDescent="0.35">
      <c r="A205" s="26" t="s">
        <v>496</v>
      </c>
      <c r="B205" s="3" t="s">
        <v>497</v>
      </c>
      <c r="C205" s="3" t="str">
        <f>PROPER(TRIM(Table4[[#This Row],[Patient Name]]))</f>
        <v>Ishaan Patel</v>
      </c>
      <c r="D205" s="2">
        <v>4</v>
      </c>
      <c r="E205" s="2" t="s">
        <v>773</v>
      </c>
      <c r="F205" s="2"/>
      <c r="G205" s="3" t="s">
        <v>80</v>
      </c>
      <c r="H205" s="4">
        <v>45204</v>
      </c>
      <c r="I205" s="3" t="s">
        <v>17</v>
      </c>
      <c r="J205" s="3" t="s">
        <v>64</v>
      </c>
      <c r="K205" s="3" t="s">
        <v>192</v>
      </c>
      <c r="L205" s="3" t="s">
        <v>148</v>
      </c>
      <c r="M205" s="5">
        <v>1000</v>
      </c>
      <c r="N205" s="34">
        <v>820</v>
      </c>
    </row>
    <row r="206" spans="1:14" ht="18" customHeight="1" x14ac:dyDescent="0.35">
      <c r="A206" s="27" t="s">
        <v>498</v>
      </c>
      <c r="B206" s="7" t="s">
        <v>499</v>
      </c>
      <c r="C206" s="7" t="str">
        <f>PROPER(TRIM(Table4[[#This Row],[Patient Name]]))</f>
        <v>Jasmine Menon</v>
      </c>
      <c r="D206" s="6">
        <v>46</v>
      </c>
      <c r="E206" s="6" t="s">
        <v>772</v>
      </c>
      <c r="F206" s="6"/>
      <c r="G206" s="7" t="s">
        <v>16</v>
      </c>
      <c r="H206" s="8">
        <v>45068</v>
      </c>
      <c r="I206" s="7" t="s">
        <v>48</v>
      </c>
      <c r="J206" s="7" t="s">
        <v>54</v>
      </c>
      <c r="K206" s="7" t="s">
        <v>257</v>
      </c>
      <c r="L206" s="7" t="s">
        <v>114</v>
      </c>
      <c r="M206" s="9">
        <v>700</v>
      </c>
      <c r="N206" s="35">
        <v>480</v>
      </c>
    </row>
    <row r="207" spans="1:14" ht="18" customHeight="1" x14ac:dyDescent="0.35">
      <c r="A207" s="26" t="s">
        <v>500</v>
      </c>
      <c r="B207" s="3" t="s">
        <v>501</v>
      </c>
      <c r="C207" s="3" t="str">
        <f>PROPER(TRIM(Table4[[#This Row],[Patient Name]]))</f>
        <v>Karthik Krishnan</v>
      </c>
      <c r="D207" s="2">
        <v>24</v>
      </c>
      <c r="E207" s="2" t="s">
        <v>773</v>
      </c>
      <c r="F207" s="2"/>
      <c r="G207" s="3" t="s">
        <v>27</v>
      </c>
      <c r="H207" s="4">
        <v>45413</v>
      </c>
      <c r="I207" s="3" t="s">
        <v>17</v>
      </c>
      <c r="J207" s="3" t="s">
        <v>64</v>
      </c>
      <c r="K207" s="3" t="s">
        <v>147</v>
      </c>
      <c r="L207" s="3" t="s">
        <v>148</v>
      </c>
      <c r="M207" s="5">
        <v>850</v>
      </c>
      <c r="N207" s="34">
        <v>600</v>
      </c>
    </row>
    <row r="208" spans="1:14" ht="18" customHeight="1" x14ac:dyDescent="0.35">
      <c r="A208" s="27" t="s">
        <v>502</v>
      </c>
      <c r="B208" s="7" t="s">
        <v>503</v>
      </c>
      <c r="C208" s="7" t="str">
        <f>PROPER(TRIM(Table4[[#This Row],[Patient Name]]))</f>
        <v>Lavanya Kumar</v>
      </c>
      <c r="D208" s="6">
        <v>72</v>
      </c>
      <c r="E208" s="6" t="s">
        <v>772</v>
      </c>
      <c r="F208" s="6"/>
      <c r="G208" s="7" t="s">
        <v>35</v>
      </c>
      <c r="H208" s="8">
        <v>45010</v>
      </c>
      <c r="I208" s="7" t="s">
        <v>42</v>
      </c>
      <c r="J208" s="7" t="s">
        <v>43</v>
      </c>
      <c r="K208" s="7" t="s">
        <v>71</v>
      </c>
      <c r="L208" s="7" t="s">
        <v>45</v>
      </c>
      <c r="M208" s="9">
        <v>450</v>
      </c>
      <c r="N208" s="35">
        <v>120</v>
      </c>
    </row>
    <row r="209" spans="1:14" ht="18" customHeight="1" x14ac:dyDescent="0.35">
      <c r="A209" s="26" t="s">
        <v>504</v>
      </c>
      <c r="B209" s="3" t="s">
        <v>505</v>
      </c>
      <c r="C209" s="3" t="str">
        <f>PROPER(TRIM(Table4[[#This Row],[Patient Name]]))</f>
        <v>Mohan Mani</v>
      </c>
      <c r="D209" s="2">
        <v>41</v>
      </c>
      <c r="E209" s="2" t="s">
        <v>773</v>
      </c>
      <c r="F209" s="2"/>
      <c r="G209" s="3" t="s">
        <v>16</v>
      </c>
      <c r="H209" s="4">
        <v>45440</v>
      </c>
      <c r="I209" s="3" t="s">
        <v>17</v>
      </c>
      <c r="J209" s="3" t="s">
        <v>23</v>
      </c>
      <c r="K209" s="3" t="s">
        <v>65</v>
      </c>
      <c r="L209" s="3" t="s">
        <v>148</v>
      </c>
      <c r="M209" s="5">
        <v>1000</v>
      </c>
      <c r="N209" s="34">
        <v>820</v>
      </c>
    </row>
    <row r="210" spans="1:14" ht="18" customHeight="1" x14ac:dyDescent="0.35">
      <c r="A210" s="27" t="s">
        <v>506</v>
      </c>
      <c r="B210" s="7" t="s">
        <v>507</v>
      </c>
      <c r="C210" s="7" t="str">
        <f>PROPER(TRIM(Table4[[#This Row],[Patient Name]]))</f>
        <v>Nisha Krishnan</v>
      </c>
      <c r="D210" s="6">
        <v>25</v>
      </c>
      <c r="E210" s="6" t="s">
        <v>773</v>
      </c>
      <c r="F210" s="6"/>
      <c r="G210" s="7" t="s">
        <v>35</v>
      </c>
      <c r="H210" s="8">
        <v>45340</v>
      </c>
      <c r="I210" s="7" t="s">
        <v>36</v>
      </c>
      <c r="J210" s="7" t="s">
        <v>37</v>
      </c>
      <c r="K210" s="7" t="s">
        <v>104</v>
      </c>
      <c r="L210" s="7" t="s">
        <v>189</v>
      </c>
      <c r="M210" s="9">
        <v>700</v>
      </c>
      <c r="N210" s="35">
        <v>500</v>
      </c>
    </row>
    <row r="211" spans="1:14" ht="18" customHeight="1" x14ac:dyDescent="0.35">
      <c r="A211" s="26" t="s">
        <v>508</v>
      </c>
      <c r="B211" s="3" t="s">
        <v>509</v>
      </c>
      <c r="C211" s="3" t="str">
        <f>PROPER(TRIM(Table4[[#This Row],[Patient Name]]))</f>
        <v>Omkar Raja</v>
      </c>
      <c r="D211" s="2">
        <v>41</v>
      </c>
      <c r="E211" s="2" t="s">
        <v>773</v>
      </c>
      <c r="F211" s="2"/>
      <c r="G211" s="3" t="s">
        <v>35</v>
      </c>
      <c r="H211" s="4">
        <v>45620</v>
      </c>
      <c r="I211" s="3" t="s">
        <v>42</v>
      </c>
      <c r="J211" s="3" t="s">
        <v>43</v>
      </c>
      <c r="K211" s="3" t="s">
        <v>110</v>
      </c>
      <c r="L211" s="3" t="s">
        <v>86</v>
      </c>
      <c r="M211" s="5">
        <v>450</v>
      </c>
      <c r="N211" s="34">
        <v>400</v>
      </c>
    </row>
    <row r="212" spans="1:14" ht="18" customHeight="1" x14ac:dyDescent="0.35">
      <c r="A212" s="27" t="s">
        <v>510</v>
      </c>
      <c r="B212" s="7" t="s">
        <v>511</v>
      </c>
      <c r="C212" s="7" t="str">
        <f>PROPER(TRIM(Table4[[#This Row],[Patient Name]]))</f>
        <v>Preethi Verma</v>
      </c>
      <c r="D212" s="6">
        <v>9</v>
      </c>
      <c r="E212" s="6" t="s">
        <v>772</v>
      </c>
      <c r="F212" s="6"/>
      <c r="G212" s="7" t="s">
        <v>35</v>
      </c>
      <c r="H212" s="8">
        <v>45175</v>
      </c>
      <c r="I212" s="7" t="s">
        <v>36</v>
      </c>
      <c r="J212" s="7" t="s">
        <v>75</v>
      </c>
      <c r="K212" s="7" t="s">
        <v>38</v>
      </c>
      <c r="L212" s="7" t="s">
        <v>133</v>
      </c>
      <c r="M212" s="9">
        <v>750</v>
      </c>
      <c r="N212" s="35">
        <v>220</v>
      </c>
    </row>
    <row r="213" spans="1:14" ht="18" customHeight="1" x14ac:dyDescent="0.35">
      <c r="A213" s="26" t="s">
        <v>512</v>
      </c>
      <c r="B213" s="3" t="s">
        <v>513</v>
      </c>
      <c r="C213" s="3" t="str">
        <f>PROPER(TRIM(Table4[[#This Row],[Patient Name]]))</f>
        <v>Qasim Menon</v>
      </c>
      <c r="D213" s="2">
        <v>60</v>
      </c>
      <c r="E213" s="2" t="s">
        <v>772</v>
      </c>
      <c r="F213" s="2"/>
      <c r="G213" s="3" t="s">
        <v>35</v>
      </c>
      <c r="H213" s="4">
        <v>45457</v>
      </c>
      <c r="I213" s="3" t="s">
        <v>28</v>
      </c>
      <c r="J213" s="3" t="s">
        <v>59</v>
      </c>
      <c r="K213" s="3" t="s">
        <v>123</v>
      </c>
      <c r="L213" s="3" t="s">
        <v>298</v>
      </c>
      <c r="M213" s="5">
        <v>600</v>
      </c>
      <c r="N213" s="34">
        <v>160</v>
      </c>
    </row>
    <row r="214" spans="1:14" ht="18" customHeight="1" x14ac:dyDescent="0.35">
      <c r="A214" s="27" t="s">
        <v>514</v>
      </c>
      <c r="B214" s="7" t="s">
        <v>515</v>
      </c>
      <c r="C214" s="7" t="str">
        <f>PROPER(TRIM(Table4[[#This Row],[Patient Name]]))</f>
        <v>Rekha Mani</v>
      </c>
      <c r="D214" s="6">
        <v>60</v>
      </c>
      <c r="E214" s="6" t="s">
        <v>772</v>
      </c>
      <c r="F214" s="6"/>
      <c r="G214" s="7" t="s">
        <v>16</v>
      </c>
      <c r="H214" s="8">
        <v>44928</v>
      </c>
      <c r="I214" s="7" t="s">
        <v>28</v>
      </c>
      <c r="J214" s="7" t="s">
        <v>122</v>
      </c>
      <c r="K214" s="7" t="s">
        <v>123</v>
      </c>
      <c r="L214" s="7" t="s">
        <v>31</v>
      </c>
      <c r="M214" s="9">
        <v>550</v>
      </c>
      <c r="N214" s="35">
        <v>260</v>
      </c>
    </row>
    <row r="215" spans="1:14" ht="18" customHeight="1" x14ac:dyDescent="0.35">
      <c r="A215" s="26" t="s">
        <v>516</v>
      </c>
      <c r="B215" s="3" t="s">
        <v>517</v>
      </c>
      <c r="C215" s="3" t="str">
        <f>PROPER(TRIM(Table4[[#This Row],[Patient Name]]))</f>
        <v>Sanjay Mani</v>
      </c>
      <c r="D215" s="2">
        <v>10</v>
      </c>
      <c r="E215" s="2" t="s">
        <v>772</v>
      </c>
      <c r="F215" s="2"/>
      <c r="G215" s="3" t="s">
        <v>16</v>
      </c>
      <c r="H215" s="4">
        <v>45390</v>
      </c>
      <c r="I215" s="3" t="s">
        <v>42</v>
      </c>
      <c r="J215" s="3" t="s">
        <v>43</v>
      </c>
      <c r="K215" s="3" t="s">
        <v>71</v>
      </c>
      <c r="L215" s="3" t="s">
        <v>86</v>
      </c>
      <c r="M215" s="5">
        <v>400</v>
      </c>
      <c r="N215" s="34">
        <v>320</v>
      </c>
    </row>
    <row r="216" spans="1:14" ht="18" customHeight="1" x14ac:dyDescent="0.35">
      <c r="A216" s="27" t="s">
        <v>518</v>
      </c>
      <c r="B216" s="7" t="s">
        <v>324</v>
      </c>
      <c r="C216" s="7" t="str">
        <f>PROPER(TRIM(Table4[[#This Row],[Patient Name]]))</f>
        <v>Tanya Iyer</v>
      </c>
      <c r="D216" s="6">
        <v>43</v>
      </c>
      <c r="E216" s="6" t="s">
        <v>773</v>
      </c>
      <c r="F216" s="6"/>
      <c r="G216" s="7" t="s">
        <v>27</v>
      </c>
      <c r="H216" s="8">
        <v>45093</v>
      </c>
      <c r="I216" s="7" t="s">
        <v>28</v>
      </c>
      <c r="J216" s="7" t="s">
        <v>29</v>
      </c>
      <c r="K216" s="7" t="s">
        <v>174</v>
      </c>
      <c r="L216" s="7" t="s">
        <v>371</v>
      </c>
      <c r="M216" s="9">
        <v>500</v>
      </c>
      <c r="N216" s="35">
        <v>210</v>
      </c>
    </row>
    <row r="217" spans="1:14" ht="18" customHeight="1" x14ac:dyDescent="0.35">
      <c r="A217" s="26" t="s">
        <v>519</v>
      </c>
      <c r="B217" s="3" t="s">
        <v>520</v>
      </c>
      <c r="C217" s="3" t="str">
        <f>PROPER(TRIM(Table4[[#This Row],[Patient Name]]))</f>
        <v>Uday Selvam</v>
      </c>
      <c r="D217" s="2">
        <v>24</v>
      </c>
      <c r="E217" s="2" t="s">
        <v>773</v>
      </c>
      <c r="F217" s="2"/>
      <c r="G217" s="3" t="s">
        <v>35</v>
      </c>
      <c r="H217" s="4">
        <v>45445</v>
      </c>
      <c r="I217" s="3" t="s">
        <v>42</v>
      </c>
      <c r="J217" s="3" t="s">
        <v>70</v>
      </c>
      <c r="K217" s="3" t="s">
        <v>71</v>
      </c>
      <c r="L217" s="3" t="s">
        <v>45</v>
      </c>
      <c r="M217" s="5">
        <v>400</v>
      </c>
      <c r="N217" s="34">
        <v>340</v>
      </c>
    </row>
    <row r="218" spans="1:14" ht="18" customHeight="1" x14ac:dyDescent="0.35">
      <c r="A218" s="27" t="s">
        <v>521</v>
      </c>
      <c r="B218" s="7" t="s">
        <v>522</v>
      </c>
      <c r="C218" s="7" t="str">
        <f>PROPER(TRIM(Table4[[#This Row],[Patient Name]]))</f>
        <v>Vimala Singh</v>
      </c>
      <c r="D218" s="6">
        <v>56</v>
      </c>
      <c r="E218" s="6" t="s">
        <v>772</v>
      </c>
      <c r="F218" s="6"/>
      <c r="G218" s="7" t="s">
        <v>16</v>
      </c>
      <c r="H218" s="8">
        <v>44928</v>
      </c>
      <c r="I218" s="7" t="s">
        <v>42</v>
      </c>
      <c r="J218" s="7" t="s">
        <v>43</v>
      </c>
      <c r="K218" s="7" t="s">
        <v>136</v>
      </c>
      <c r="L218" s="7" t="s">
        <v>197</v>
      </c>
      <c r="M218" s="9">
        <v>400</v>
      </c>
      <c r="N218" s="35">
        <v>360</v>
      </c>
    </row>
    <row r="219" spans="1:14" ht="18" customHeight="1" x14ac:dyDescent="0.35">
      <c r="A219" s="26" t="s">
        <v>523</v>
      </c>
      <c r="B219" s="3" t="s">
        <v>524</v>
      </c>
      <c r="C219" s="3" t="str">
        <f>PROPER(TRIM(Table4[[#This Row],[Patient Name]]))</f>
        <v>Wasim Mani</v>
      </c>
      <c r="D219" s="2">
        <v>47</v>
      </c>
      <c r="E219" s="2" t="s">
        <v>773</v>
      </c>
      <c r="F219" s="2"/>
      <c r="G219" s="3" t="s">
        <v>80</v>
      </c>
      <c r="H219" s="4">
        <v>45499</v>
      </c>
      <c r="I219" s="3" t="s">
        <v>28</v>
      </c>
      <c r="J219" s="3" t="s">
        <v>122</v>
      </c>
      <c r="K219" s="3" t="s">
        <v>123</v>
      </c>
      <c r="L219" s="3" t="s">
        <v>61</v>
      </c>
      <c r="M219" s="5">
        <v>450</v>
      </c>
      <c r="N219" s="34">
        <v>210</v>
      </c>
    </row>
    <row r="220" spans="1:14" ht="18" customHeight="1" x14ac:dyDescent="0.35">
      <c r="A220" s="27" t="s">
        <v>525</v>
      </c>
      <c r="B220" s="7" t="s">
        <v>526</v>
      </c>
      <c r="C220" s="7" t="str">
        <f>PROPER(TRIM(Table4[[#This Row],[Patient Name]]))</f>
        <v>Xena Subramanian</v>
      </c>
      <c r="D220" s="6">
        <v>45</v>
      </c>
      <c r="E220" s="6" t="s">
        <v>772</v>
      </c>
      <c r="F220" s="6"/>
      <c r="G220" s="7" t="s">
        <v>16</v>
      </c>
      <c r="H220" s="8">
        <v>45486</v>
      </c>
      <c r="I220" s="7" t="s">
        <v>42</v>
      </c>
      <c r="J220" s="7" t="s">
        <v>43</v>
      </c>
      <c r="K220" s="7" t="s">
        <v>65</v>
      </c>
      <c r="L220" s="7" t="s">
        <v>86</v>
      </c>
      <c r="M220" s="9">
        <v>350</v>
      </c>
      <c r="N220" s="35">
        <v>130</v>
      </c>
    </row>
    <row r="221" spans="1:14" ht="18" customHeight="1" x14ac:dyDescent="0.35">
      <c r="A221" s="26" t="s">
        <v>527</v>
      </c>
      <c r="B221" s="3" t="s">
        <v>528</v>
      </c>
      <c r="C221" s="3" t="str">
        <f>PROPER(TRIM(Table4[[#This Row],[Patient Name]]))</f>
        <v>Yogesh Vel</v>
      </c>
      <c r="D221" s="2">
        <v>17</v>
      </c>
      <c r="E221" s="2" t="s">
        <v>772</v>
      </c>
      <c r="F221" s="2"/>
      <c r="G221" s="3" t="s">
        <v>16</v>
      </c>
      <c r="H221" s="4">
        <v>45467</v>
      </c>
      <c r="I221" s="3" t="s">
        <v>42</v>
      </c>
      <c r="J221" s="3" t="s">
        <v>43</v>
      </c>
      <c r="K221" s="3" t="s">
        <v>110</v>
      </c>
      <c r="L221" s="3" t="s">
        <v>129</v>
      </c>
      <c r="M221" s="5">
        <v>450</v>
      </c>
      <c r="N221" s="34">
        <v>140</v>
      </c>
    </row>
    <row r="222" spans="1:14" ht="18" customHeight="1" x14ac:dyDescent="0.35">
      <c r="A222" s="27" t="s">
        <v>529</v>
      </c>
      <c r="B222" s="7" t="s">
        <v>530</v>
      </c>
      <c r="C222" s="7" t="str">
        <f>PROPER(TRIM(Table4[[#This Row],[Patient Name]]))</f>
        <v>Zara Raja</v>
      </c>
      <c r="D222" s="6">
        <v>19</v>
      </c>
      <c r="E222" s="6" t="s">
        <v>772</v>
      </c>
      <c r="F222" s="6"/>
      <c r="G222" s="7" t="s">
        <v>16</v>
      </c>
      <c r="H222" s="8">
        <v>45017</v>
      </c>
      <c r="I222" s="7" t="s">
        <v>36</v>
      </c>
      <c r="J222" s="7" t="s">
        <v>75</v>
      </c>
      <c r="K222" s="7" t="s">
        <v>144</v>
      </c>
      <c r="L222" s="7" t="s">
        <v>189</v>
      </c>
      <c r="M222" s="9">
        <v>700</v>
      </c>
      <c r="N222" s="35">
        <v>320</v>
      </c>
    </row>
    <row r="223" spans="1:14" ht="18" customHeight="1" x14ac:dyDescent="0.35">
      <c r="A223" s="26" t="s">
        <v>531</v>
      </c>
      <c r="B223" s="3" t="s">
        <v>532</v>
      </c>
      <c r="C223" s="3" t="str">
        <f>PROPER(TRIM(Table4[[#This Row],[Patient Name]]))</f>
        <v>Arjun Rao</v>
      </c>
      <c r="D223" s="2">
        <v>70</v>
      </c>
      <c r="E223" s="2" t="s">
        <v>773</v>
      </c>
      <c r="F223" s="2"/>
      <c r="G223" s="3" t="s">
        <v>27</v>
      </c>
      <c r="H223" s="4">
        <v>44961</v>
      </c>
      <c r="I223" s="3" t="s">
        <v>36</v>
      </c>
      <c r="J223" s="3" t="s">
        <v>75</v>
      </c>
      <c r="K223" s="3" t="s">
        <v>38</v>
      </c>
      <c r="L223" s="3" t="s">
        <v>39</v>
      </c>
      <c r="M223" s="5">
        <v>750</v>
      </c>
      <c r="N223" s="34">
        <v>500</v>
      </c>
    </row>
    <row r="224" spans="1:14" ht="18" customHeight="1" x14ac:dyDescent="0.35">
      <c r="A224" s="27" t="s">
        <v>533</v>
      </c>
      <c r="B224" s="7" t="s">
        <v>534</v>
      </c>
      <c r="C224" s="7" t="str">
        <f>PROPER(TRIM(Table4[[#This Row],[Patient Name]]))</f>
        <v>Bhanu Subramanian</v>
      </c>
      <c r="D224" s="6">
        <v>75</v>
      </c>
      <c r="E224" s="6" t="s">
        <v>772</v>
      </c>
      <c r="F224" s="6"/>
      <c r="G224" s="7" t="s">
        <v>35</v>
      </c>
      <c r="H224" s="8">
        <v>45109</v>
      </c>
      <c r="I224" s="7" t="s">
        <v>17</v>
      </c>
      <c r="J224" s="7" t="s">
        <v>23</v>
      </c>
      <c r="K224" s="7" t="s">
        <v>147</v>
      </c>
      <c r="L224" s="7" t="s">
        <v>226</v>
      </c>
      <c r="M224" s="9">
        <v>900</v>
      </c>
      <c r="N224" s="35">
        <v>590</v>
      </c>
    </row>
    <row r="225" spans="1:14" ht="18" customHeight="1" x14ac:dyDescent="0.35">
      <c r="A225" s="26" t="s">
        <v>535</v>
      </c>
      <c r="B225" s="3" t="s">
        <v>536</v>
      </c>
      <c r="C225" s="3" t="str">
        <f>PROPER(TRIM(Table4[[#This Row],[Patient Name]]))</f>
        <v>Chitra Krishnan</v>
      </c>
      <c r="D225" s="2">
        <v>18</v>
      </c>
      <c r="E225" s="2" t="s">
        <v>772</v>
      </c>
      <c r="F225" s="2"/>
      <c r="G225" s="3" t="s">
        <v>80</v>
      </c>
      <c r="H225" s="4">
        <v>45574</v>
      </c>
      <c r="I225" s="3" t="s">
        <v>36</v>
      </c>
      <c r="J225" s="3" t="s">
        <v>75</v>
      </c>
      <c r="K225" s="3" t="s">
        <v>104</v>
      </c>
      <c r="L225" s="3" t="s">
        <v>82</v>
      </c>
      <c r="M225" s="5">
        <v>1000</v>
      </c>
      <c r="N225" s="34">
        <v>230</v>
      </c>
    </row>
    <row r="226" spans="1:14" ht="18" customHeight="1" x14ac:dyDescent="0.35">
      <c r="A226" s="27" t="s">
        <v>537</v>
      </c>
      <c r="B226" s="7" t="s">
        <v>538</v>
      </c>
      <c r="C226" s="7" t="str">
        <f>PROPER(TRIM(Table4[[#This Row],[Patient Name]]))</f>
        <v>Dinesh Mani</v>
      </c>
      <c r="D226" s="6">
        <v>27</v>
      </c>
      <c r="E226" s="6" t="s">
        <v>772</v>
      </c>
      <c r="F226" s="6"/>
      <c r="G226" s="7" t="s">
        <v>35</v>
      </c>
      <c r="H226" s="8">
        <v>45007</v>
      </c>
      <c r="I226" s="7" t="s">
        <v>28</v>
      </c>
      <c r="J226" s="7" t="s">
        <v>59</v>
      </c>
      <c r="K226" s="7" t="s">
        <v>60</v>
      </c>
      <c r="L226" s="7" t="s">
        <v>298</v>
      </c>
      <c r="M226" s="9">
        <v>450</v>
      </c>
      <c r="N226" s="35">
        <v>120</v>
      </c>
    </row>
    <row r="227" spans="1:14" ht="18" customHeight="1" x14ac:dyDescent="0.35">
      <c r="A227" s="26" t="s">
        <v>539</v>
      </c>
      <c r="B227" s="3" t="s">
        <v>540</v>
      </c>
      <c r="C227" s="3" t="str">
        <f>PROPER(TRIM(Table4[[#This Row],[Patient Name]]))</f>
        <v>Esha Murugan</v>
      </c>
      <c r="D227" s="2">
        <v>59</v>
      </c>
      <c r="E227" s="2" t="s">
        <v>773</v>
      </c>
      <c r="F227" s="2"/>
      <c r="G227" s="3" t="s">
        <v>27</v>
      </c>
      <c r="H227" s="4">
        <v>45612</v>
      </c>
      <c r="I227" s="3" t="s">
        <v>17</v>
      </c>
      <c r="J227" s="3" t="s">
        <v>18</v>
      </c>
      <c r="K227" s="3" t="s">
        <v>154</v>
      </c>
      <c r="L227" s="3" t="s">
        <v>226</v>
      </c>
      <c r="M227" s="5">
        <v>1050</v>
      </c>
      <c r="N227" s="34">
        <v>480</v>
      </c>
    </row>
    <row r="228" spans="1:14" ht="18" customHeight="1" x14ac:dyDescent="0.35">
      <c r="A228" s="27" t="s">
        <v>541</v>
      </c>
      <c r="B228" s="7" t="s">
        <v>542</v>
      </c>
      <c r="C228" s="7" t="str">
        <f>PROPER(TRIM(Table4[[#This Row],[Patient Name]]))</f>
        <v>Farhan Kumar</v>
      </c>
      <c r="D228" s="6">
        <v>27</v>
      </c>
      <c r="E228" s="6" t="s">
        <v>773</v>
      </c>
      <c r="F228" s="6"/>
      <c r="G228" s="7" t="s">
        <v>27</v>
      </c>
      <c r="H228" s="8">
        <v>45402</v>
      </c>
      <c r="I228" s="7" t="s">
        <v>42</v>
      </c>
      <c r="J228" s="7" t="s">
        <v>89</v>
      </c>
      <c r="K228" s="7" t="s">
        <v>110</v>
      </c>
      <c r="L228" s="7" t="s">
        <v>90</v>
      </c>
      <c r="M228" s="9">
        <v>500</v>
      </c>
      <c r="N228" s="35">
        <v>230</v>
      </c>
    </row>
    <row r="229" spans="1:14" ht="18" customHeight="1" x14ac:dyDescent="0.35">
      <c r="A229" s="26" t="s">
        <v>543</v>
      </c>
      <c r="B229" s="3" t="s">
        <v>544</v>
      </c>
      <c r="C229" s="3" t="str">
        <f>PROPER(TRIM(Table4[[#This Row],[Patient Name]]))</f>
        <v>Geetha Nair</v>
      </c>
      <c r="D229" s="2">
        <v>70</v>
      </c>
      <c r="E229" s="2" t="s">
        <v>772</v>
      </c>
      <c r="F229" s="2"/>
      <c r="G229" s="3" t="s">
        <v>16</v>
      </c>
      <c r="H229" s="4">
        <v>45622</v>
      </c>
      <c r="I229" s="3" t="s">
        <v>28</v>
      </c>
      <c r="J229" s="3" t="s">
        <v>59</v>
      </c>
      <c r="K229" s="3" t="s">
        <v>110</v>
      </c>
      <c r="L229" s="3" t="s">
        <v>298</v>
      </c>
      <c r="M229" s="5">
        <v>700</v>
      </c>
      <c r="N229" s="34">
        <v>140</v>
      </c>
    </row>
    <row r="230" spans="1:14" ht="18" customHeight="1" x14ac:dyDescent="0.35">
      <c r="A230" s="27" t="s">
        <v>545</v>
      </c>
      <c r="B230" s="7" t="s">
        <v>546</v>
      </c>
      <c r="C230" s="7" t="str">
        <f>PROPER(TRIM(Table4[[#This Row],[Patient Name]]))</f>
        <v>Harish Rajan</v>
      </c>
      <c r="D230" s="6">
        <v>33</v>
      </c>
      <c r="E230" s="6" t="s">
        <v>772</v>
      </c>
      <c r="F230" s="6"/>
      <c r="G230" s="7" t="s">
        <v>107</v>
      </c>
      <c r="H230" s="8">
        <v>45272</v>
      </c>
      <c r="I230" s="7" t="s">
        <v>42</v>
      </c>
      <c r="J230" s="7" t="s">
        <v>43</v>
      </c>
      <c r="K230" s="7" t="s">
        <v>65</v>
      </c>
      <c r="L230" s="7" t="s">
        <v>129</v>
      </c>
      <c r="M230" s="9">
        <v>350</v>
      </c>
      <c r="N230" s="35">
        <v>330</v>
      </c>
    </row>
    <row r="231" spans="1:14" ht="18" customHeight="1" x14ac:dyDescent="0.35">
      <c r="A231" s="26" t="s">
        <v>547</v>
      </c>
      <c r="B231" s="3" t="s">
        <v>548</v>
      </c>
      <c r="C231" s="3" t="str">
        <f>PROPER(TRIM(Table4[[#This Row],[Patient Name]]))</f>
        <v>Indira Balan</v>
      </c>
      <c r="D231" s="2">
        <v>46</v>
      </c>
      <c r="E231" s="2" t="s">
        <v>772</v>
      </c>
      <c r="F231" s="2"/>
      <c r="G231" s="3" t="s">
        <v>35</v>
      </c>
      <c r="H231" s="4">
        <v>45415</v>
      </c>
      <c r="I231" s="3" t="s">
        <v>36</v>
      </c>
      <c r="J231" s="3" t="s">
        <v>81</v>
      </c>
      <c r="K231" s="3" t="s">
        <v>38</v>
      </c>
      <c r="L231" s="3" t="s">
        <v>133</v>
      </c>
      <c r="M231" s="5">
        <v>1000</v>
      </c>
      <c r="N231" s="34">
        <v>400</v>
      </c>
    </row>
    <row r="232" spans="1:14" ht="18" customHeight="1" x14ac:dyDescent="0.35">
      <c r="A232" s="27" t="s">
        <v>549</v>
      </c>
      <c r="B232" s="7" t="s">
        <v>550</v>
      </c>
      <c r="C232" s="7" t="str">
        <f>PROPER(TRIM(Table4[[#This Row],[Patient Name]]))</f>
        <v>Jaya Menon</v>
      </c>
      <c r="D232" s="6">
        <v>70</v>
      </c>
      <c r="E232" s="6" t="s">
        <v>773</v>
      </c>
      <c r="F232" s="6"/>
      <c r="G232" s="7" t="s">
        <v>69</v>
      </c>
      <c r="H232" s="8">
        <v>45061</v>
      </c>
      <c r="I232" s="7" t="s">
        <v>48</v>
      </c>
      <c r="J232" s="7" t="s">
        <v>54</v>
      </c>
      <c r="K232" s="7" t="s">
        <v>151</v>
      </c>
      <c r="L232" s="7" t="s">
        <v>95</v>
      </c>
      <c r="M232" s="9">
        <v>550</v>
      </c>
      <c r="N232" s="35">
        <v>240</v>
      </c>
    </row>
    <row r="233" spans="1:14" ht="18" customHeight="1" x14ac:dyDescent="0.35">
      <c r="A233" s="26" t="s">
        <v>551</v>
      </c>
      <c r="B233" s="3" t="s">
        <v>552</v>
      </c>
      <c r="C233" s="3" t="str">
        <f>PROPER(TRIM(Table4[[#This Row],[Patient Name]]))</f>
        <v>Kiran Kumar</v>
      </c>
      <c r="D233" s="2">
        <v>51</v>
      </c>
      <c r="E233" s="2" t="s">
        <v>773</v>
      </c>
      <c r="F233" s="2"/>
      <c r="G233" s="3" t="s">
        <v>16</v>
      </c>
      <c r="H233" s="4">
        <v>45071</v>
      </c>
      <c r="I233" s="3" t="s">
        <v>17</v>
      </c>
      <c r="J233" s="3" t="s">
        <v>64</v>
      </c>
      <c r="K233" s="3" t="s">
        <v>19</v>
      </c>
      <c r="L233" s="3" t="s">
        <v>24</v>
      </c>
      <c r="M233" s="5">
        <v>1000</v>
      </c>
      <c r="N233" s="34">
        <v>680</v>
      </c>
    </row>
    <row r="234" spans="1:14" ht="18" customHeight="1" x14ac:dyDescent="0.35">
      <c r="A234" s="27" t="s">
        <v>553</v>
      </c>
      <c r="B234" s="7" t="s">
        <v>554</v>
      </c>
      <c r="C234" s="7" t="str">
        <f>PROPER(TRIM(Table4[[#This Row],[Patient Name]]))</f>
        <v>Latha Rajan</v>
      </c>
      <c r="D234" s="6">
        <v>44</v>
      </c>
      <c r="E234" s="6" t="s">
        <v>773</v>
      </c>
      <c r="F234" s="6"/>
      <c r="G234" s="7" t="s">
        <v>35</v>
      </c>
      <c r="H234" s="8">
        <v>45421</v>
      </c>
      <c r="I234" s="7" t="s">
        <v>42</v>
      </c>
      <c r="J234" s="7" t="s">
        <v>89</v>
      </c>
      <c r="K234" s="7" t="s">
        <v>136</v>
      </c>
      <c r="L234" s="7" t="s">
        <v>197</v>
      </c>
      <c r="M234" s="9">
        <v>300</v>
      </c>
      <c r="N234" s="35">
        <v>340</v>
      </c>
    </row>
    <row r="235" spans="1:14" ht="18" customHeight="1" x14ac:dyDescent="0.35">
      <c r="A235" s="26" t="s">
        <v>555</v>
      </c>
      <c r="B235" s="3" t="s">
        <v>556</v>
      </c>
      <c r="C235" s="3" t="str">
        <f>PROPER(TRIM(Table4[[#This Row],[Patient Name]]))</f>
        <v>Mani Verma</v>
      </c>
      <c r="D235" s="2">
        <v>31</v>
      </c>
      <c r="E235" s="2" t="s">
        <v>773</v>
      </c>
      <c r="F235" s="2"/>
      <c r="G235" s="3" t="s">
        <v>35</v>
      </c>
      <c r="H235" s="4">
        <v>45367</v>
      </c>
      <c r="I235" s="3" t="s">
        <v>42</v>
      </c>
      <c r="J235" s="3" t="s">
        <v>70</v>
      </c>
      <c r="K235" s="3" t="s">
        <v>136</v>
      </c>
      <c r="L235" s="3" t="s">
        <v>86</v>
      </c>
      <c r="M235" s="5">
        <v>400</v>
      </c>
      <c r="N235" s="34">
        <v>100</v>
      </c>
    </row>
    <row r="236" spans="1:14" ht="18" customHeight="1" x14ac:dyDescent="0.35">
      <c r="A236" s="27" t="s">
        <v>557</v>
      </c>
      <c r="B236" s="7" t="s">
        <v>558</v>
      </c>
      <c r="C236" s="7" t="str">
        <f>PROPER(TRIM(Table4[[#This Row],[Patient Name]]))</f>
        <v>Nalini Mani</v>
      </c>
      <c r="D236" s="6">
        <v>70</v>
      </c>
      <c r="E236" s="6" t="s">
        <v>773</v>
      </c>
      <c r="F236" s="6"/>
      <c r="G236" s="7" t="s">
        <v>107</v>
      </c>
      <c r="H236" s="8">
        <v>45363</v>
      </c>
      <c r="I236" s="7" t="s">
        <v>42</v>
      </c>
      <c r="J236" s="7" t="s">
        <v>89</v>
      </c>
      <c r="K236" s="7" t="s">
        <v>128</v>
      </c>
      <c r="L236" s="7" t="s">
        <v>72</v>
      </c>
      <c r="M236" s="9">
        <v>350</v>
      </c>
      <c r="N236" s="35">
        <v>340</v>
      </c>
    </row>
    <row r="237" spans="1:14" ht="18" customHeight="1" x14ac:dyDescent="0.35">
      <c r="A237" s="26" t="s">
        <v>559</v>
      </c>
      <c r="B237" s="3" t="s">
        <v>560</v>
      </c>
      <c r="C237" s="3" t="str">
        <f>PROPER(TRIM(Table4[[#This Row],[Patient Name]]))</f>
        <v>Pavan Vel</v>
      </c>
      <c r="D237" s="2">
        <v>5</v>
      </c>
      <c r="E237" s="2" t="s">
        <v>773</v>
      </c>
      <c r="F237" s="2"/>
      <c r="G237" s="3" t="s">
        <v>107</v>
      </c>
      <c r="H237" s="4">
        <v>44961</v>
      </c>
      <c r="I237" s="3" t="s">
        <v>42</v>
      </c>
      <c r="J237" s="3" t="s">
        <v>89</v>
      </c>
      <c r="K237" s="3" t="s">
        <v>128</v>
      </c>
      <c r="L237" s="3" t="s">
        <v>90</v>
      </c>
      <c r="M237" s="5">
        <v>450</v>
      </c>
      <c r="N237" s="34">
        <v>360</v>
      </c>
    </row>
    <row r="238" spans="1:14" ht="18" customHeight="1" x14ac:dyDescent="0.35">
      <c r="A238" s="27" t="s">
        <v>561</v>
      </c>
      <c r="B238" s="7" t="s">
        <v>562</v>
      </c>
      <c r="C238" s="7" t="str">
        <f>PROPER(TRIM(Table4[[#This Row],[Patient Name]]))</f>
        <v>Radha Iyer</v>
      </c>
      <c r="D238" s="6">
        <v>60</v>
      </c>
      <c r="E238" s="6" t="s">
        <v>772</v>
      </c>
      <c r="F238" s="6"/>
      <c r="G238" s="7" t="s">
        <v>27</v>
      </c>
      <c r="H238" s="8">
        <v>45524</v>
      </c>
      <c r="I238" s="7" t="s">
        <v>17</v>
      </c>
      <c r="J238" s="7" t="s">
        <v>23</v>
      </c>
      <c r="K238" s="7" t="s">
        <v>192</v>
      </c>
      <c r="L238" s="7" t="s">
        <v>148</v>
      </c>
      <c r="M238" s="9">
        <v>900</v>
      </c>
      <c r="N238" s="35">
        <v>570</v>
      </c>
    </row>
    <row r="239" spans="1:14" ht="18" customHeight="1" x14ac:dyDescent="0.35">
      <c r="A239" s="26" t="s">
        <v>563</v>
      </c>
      <c r="B239" s="3" t="s">
        <v>564</v>
      </c>
      <c r="C239" s="3" t="str">
        <f>PROPER(TRIM(Table4[[#This Row],[Patient Name]]))</f>
        <v>Suresh Rajan</v>
      </c>
      <c r="D239" s="2">
        <v>55</v>
      </c>
      <c r="E239" s="2" t="s">
        <v>772</v>
      </c>
      <c r="F239" s="2"/>
      <c r="G239" s="3" t="s">
        <v>80</v>
      </c>
      <c r="H239" s="4">
        <v>45482</v>
      </c>
      <c r="I239" s="3" t="s">
        <v>42</v>
      </c>
      <c r="J239" s="3" t="s">
        <v>70</v>
      </c>
      <c r="K239" s="3" t="s">
        <v>65</v>
      </c>
      <c r="L239" s="3" t="s">
        <v>129</v>
      </c>
      <c r="M239" s="5">
        <v>350</v>
      </c>
      <c r="N239" s="34">
        <v>190</v>
      </c>
    </row>
    <row r="240" spans="1:14" ht="18" customHeight="1" x14ac:dyDescent="0.35">
      <c r="A240" s="27" t="s">
        <v>565</v>
      </c>
      <c r="B240" s="7" t="s">
        <v>566</v>
      </c>
      <c r="C240" s="7" t="str">
        <f>PROPER(TRIM(Table4[[#This Row],[Patient Name]]))</f>
        <v>Thilaga Narayanan</v>
      </c>
      <c r="D240" s="6">
        <v>33</v>
      </c>
      <c r="E240" s="6" t="s">
        <v>772</v>
      </c>
      <c r="F240" s="6"/>
      <c r="G240" s="7" t="s">
        <v>80</v>
      </c>
      <c r="H240" s="8">
        <v>45622</v>
      </c>
      <c r="I240" s="7" t="s">
        <v>42</v>
      </c>
      <c r="J240" s="7" t="s">
        <v>43</v>
      </c>
      <c r="K240" s="7" t="s">
        <v>71</v>
      </c>
      <c r="L240" s="7" t="s">
        <v>72</v>
      </c>
      <c r="M240" s="9">
        <v>350</v>
      </c>
      <c r="N240" s="35">
        <v>360</v>
      </c>
    </row>
    <row r="241" spans="1:14" ht="18" customHeight="1" x14ac:dyDescent="0.35">
      <c r="A241" s="26" t="s">
        <v>567</v>
      </c>
      <c r="B241" s="3" t="s">
        <v>568</v>
      </c>
      <c r="C241" s="3" t="str">
        <f>PROPER(TRIM(Table4[[#This Row],[Patient Name]]))</f>
        <v>Usha Menon</v>
      </c>
      <c r="D241" s="2">
        <v>37</v>
      </c>
      <c r="E241" s="2" t="s">
        <v>772</v>
      </c>
      <c r="F241" s="2"/>
      <c r="G241" s="3" t="s">
        <v>69</v>
      </c>
      <c r="H241" s="4">
        <v>45362</v>
      </c>
      <c r="I241" s="3" t="s">
        <v>28</v>
      </c>
      <c r="J241" s="3" t="s">
        <v>29</v>
      </c>
      <c r="K241" s="3" t="s">
        <v>110</v>
      </c>
      <c r="L241" s="3" t="s">
        <v>31</v>
      </c>
      <c r="M241" s="5">
        <v>650</v>
      </c>
      <c r="N241" s="34">
        <v>220</v>
      </c>
    </row>
    <row r="242" spans="1:14" ht="18" customHeight="1" x14ac:dyDescent="0.35">
      <c r="A242" s="27" t="s">
        <v>569</v>
      </c>
      <c r="B242" s="7" t="s">
        <v>570</v>
      </c>
      <c r="C242" s="7" t="str">
        <f>PROPER(TRIM(Table4[[#This Row],[Patient Name]]))</f>
        <v>Venkat Singh</v>
      </c>
      <c r="D242" s="6">
        <v>42</v>
      </c>
      <c r="E242" s="6" t="s">
        <v>773</v>
      </c>
      <c r="F242" s="6"/>
      <c r="G242" s="7" t="s">
        <v>16</v>
      </c>
      <c r="H242" s="8">
        <v>45341</v>
      </c>
      <c r="I242" s="7" t="s">
        <v>42</v>
      </c>
      <c r="J242" s="7" t="s">
        <v>89</v>
      </c>
      <c r="K242" s="7" t="s">
        <v>44</v>
      </c>
      <c r="L242" s="7" t="s">
        <v>45</v>
      </c>
      <c r="M242" s="9">
        <v>300</v>
      </c>
      <c r="N242" s="35">
        <v>120</v>
      </c>
    </row>
    <row r="243" spans="1:14" ht="18" customHeight="1" x14ac:dyDescent="0.35">
      <c r="A243" s="26" t="s">
        <v>571</v>
      </c>
      <c r="B243" s="3" t="s">
        <v>572</v>
      </c>
      <c r="C243" s="3" t="str">
        <f>PROPER(TRIM(Table4[[#This Row],[Patient Name]]))</f>
        <v>Yamini Vel</v>
      </c>
      <c r="D243" s="2">
        <v>32</v>
      </c>
      <c r="E243" s="2" t="s">
        <v>772</v>
      </c>
      <c r="F243" s="2"/>
      <c r="G243" s="3" t="s">
        <v>16</v>
      </c>
      <c r="H243" s="4">
        <v>45072</v>
      </c>
      <c r="I243" s="3" t="s">
        <v>42</v>
      </c>
      <c r="J243" s="3" t="s">
        <v>89</v>
      </c>
      <c r="K243" s="3" t="s">
        <v>65</v>
      </c>
      <c r="L243" s="3" t="s">
        <v>129</v>
      </c>
      <c r="M243" s="5">
        <v>350</v>
      </c>
      <c r="N243" s="34">
        <v>190</v>
      </c>
    </row>
    <row r="244" spans="1:14" ht="18" customHeight="1" x14ac:dyDescent="0.35">
      <c r="A244" s="27" t="s">
        <v>573</v>
      </c>
      <c r="B244" s="7" t="s">
        <v>574</v>
      </c>
      <c r="C244" s="7" t="str">
        <f>PROPER(TRIM(Table4[[#This Row],[Patient Name]]))</f>
        <v>Aditya Vel</v>
      </c>
      <c r="D244" s="6">
        <v>33</v>
      </c>
      <c r="E244" s="6" t="s">
        <v>773</v>
      </c>
      <c r="F244" s="6"/>
      <c r="G244" s="7" t="s">
        <v>107</v>
      </c>
      <c r="H244" s="8">
        <v>45384</v>
      </c>
      <c r="I244" s="7" t="s">
        <v>36</v>
      </c>
      <c r="J244" s="7" t="s">
        <v>37</v>
      </c>
      <c r="K244" s="7" t="s">
        <v>104</v>
      </c>
      <c r="L244" s="7" t="s">
        <v>133</v>
      </c>
      <c r="M244" s="9">
        <v>850</v>
      </c>
      <c r="N244" s="35">
        <v>690</v>
      </c>
    </row>
    <row r="245" spans="1:14" ht="18" customHeight="1" x14ac:dyDescent="0.35">
      <c r="A245" s="26" t="s">
        <v>575</v>
      </c>
      <c r="B245" s="3" t="s">
        <v>576</v>
      </c>
      <c r="C245" s="3" t="str">
        <f>PROPER(TRIM(Table4[[#This Row],[Patient Name]]))</f>
        <v>Bharathi Subramanian</v>
      </c>
      <c r="D245" s="2">
        <v>35</v>
      </c>
      <c r="E245" s="2" t="s">
        <v>773</v>
      </c>
      <c r="F245" s="2"/>
      <c r="G245" s="3" t="s">
        <v>27</v>
      </c>
      <c r="H245" s="4">
        <v>45087</v>
      </c>
      <c r="I245" s="3" t="s">
        <v>48</v>
      </c>
      <c r="J245" s="3" t="s">
        <v>49</v>
      </c>
      <c r="K245" s="3" t="s">
        <v>55</v>
      </c>
      <c r="L245" s="3" t="s">
        <v>56</v>
      </c>
      <c r="M245" s="5">
        <v>550</v>
      </c>
      <c r="N245" s="34">
        <v>480</v>
      </c>
    </row>
    <row r="246" spans="1:14" ht="18" customHeight="1" x14ac:dyDescent="0.35">
      <c r="A246" s="27" t="s">
        <v>577</v>
      </c>
      <c r="B246" s="7" t="s">
        <v>578</v>
      </c>
      <c r="C246" s="7" t="str">
        <f>PROPER(TRIM(Table4[[#This Row],[Patient Name]]))</f>
        <v>Chandru Narayanan</v>
      </c>
      <c r="D246" s="6">
        <v>61</v>
      </c>
      <c r="E246" s="6" t="s">
        <v>773</v>
      </c>
      <c r="F246" s="6"/>
      <c r="G246" s="7" t="s">
        <v>80</v>
      </c>
      <c r="H246" s="8">
        <v>45373</v>
      </c>
      <c r="I246" s="7" t="s">
        <v>17</v>
      </c>
      <c r="J246" s="7" t="s">
        <v>64</v>
      </c>
      <c r="K246" s="7" t="s">
        <v>65</v>
      </c>
      <c r="L246" s="7" t="s">
        <v>20</v>
      </c>
      <c r="M246" s="9">
        <v>850</v>
      </c>
      <c r="N246" s="35">
        <v>730</v>
      </c>
    </row>
    <row r="247" spans="1:14" ht="18" customHeight="1" x14ac:dyDescent="0.35">
      <c r="A247" s="26" t="s">
        <v>579</v>
      </c>
      <c r="B247" s="3" t="s">
        <v>580</v>
      </c>
      <c r="C247" s="3" t="str">
        <f>PROPER(TRIM(Table4[[#This Row],[Patient Name]]))</f>
        <v>Devika Balan</v>
      </c>
      <c r="D247" s="2">
        <v>32</v>
      </c>
      <c r="E247" s="2" t="s">
        <v>773</v>
      </c>
      <c r="F247" s="2"/>
      <c r="G247" s="3" t="s">
        <v>35</v>
      </c>
      <c r="H247" s="4">
        <v>45005</v>
      </c>
      <c r="I247" s="3" t="s">
        <v>42</v>
      </c>
      <c r="J247" s="3" t="s">
        <v>43</v>
      </c>
      <c r="K247" s="3" t="s">
        <v>128</v>
      </c>
      <c r="L247" s="3" t="s">
        <v>90</v>
      </c>
      <c r="M247" s="5">
        <v>400</v>
      </c>
      <c r="N247" s="34">
        <v>190</v>
      </c>
    </row>
    <row r="248" spans="1:14" ht="18" customHeight="1" x14ac:dyDescent="0.35">
      <c r="A248" s="27" t="s">
        <v>581</v>
      </c>
      <c r="B248" s="7" t="s">
        <v>582</v>
      </c>
      <c r="C248" s="7" t="str">
        <f>PROPER(TRIM(Table4[[#This Row],[Patient Name]]))</f>
        <v>Elango Rajan</v>
      </c>
      <c r="D248" s="6">
        <v>72</v>
      </c>
      <c r="E248" s="6" t="s">
        <v>773</v>
      </c>
      <c r="F248" s="6"/>
      <c r="G248" s="7" t="s">
        <v>80</v>
      </c>
      <c r="H248" s="8">
        <v>45356</v>
      </c>
      <c r="I248" s="7" t="s">
        <v>36</v>
      </c>
      <c r="J248" s="7" t="s">
        <v>37</v>
      </c>
      <c r="K248" s="7" t="s">
        <v>38</v>
      </c>
      <c r="L248" s="7" t="s">
        <v>39</v>
      </c>
      <c r="M248" s="9">
        <v>750</v>
      </c>
      <c r="N248" s="35">
        <v>650</v>
      </c>
    </row>
    <row r="249" spans="1:14" ht="18" customHeight="1" x14ac:dyDescent="0.35">
      <c r="A249" s="26" t="s">
        <v>583</v>
      </c>
      <c r="B249" s="3" t="s">
        <v>584</v>
      </c>
      <c r="C249" s="3" t="str">
        <f>PROPER(TRIM(Table4[[#This Row],[Patient Name]]))</f>
        <v>Fathima Selvam</v>
      </c>
      <c r="D249" s="2">
        <v>23</v>
      </c>
      <c r="E249" s="2" t="s">
        <v>773</v>
      </c>
      <c r="F249" s="2"/>
      <c r="G249" s="3" t="s">
        <v>35</v>
      </c>
      <c r="H249" s="4">
        <v>45103</v>
      </c>
      <c r="I249" s="3" t="s">
        <v>28</v>
      </c>
      <c r="J249" s="3" t="s">
        <v>59</v>
      </c>
      <c r="K249" s="3" t="s">
        <v>30</v>
      </c>
      <c r="L249" s="3" t="s">
        <v>298</v>
      </c>
      <c r="M249" s="5">
        <v>600</v>
      </c>
      <c r="N249" s="34">
        <v>280</v>
      </c>
    </row>
    <row r="250" spans="1:14" ht="18" customHeight="1" x14ac:dyDescent="0.35">
      <c r="A250" s="27" t="s">
        <v>585</v>
      </c>
      <c r="B250" s="7" t="s">
        <v>586</v>
      </c>
      <c r="C250" s="7" t="str">
        <f>PROPER(TRIM(Table4[[#This Row],[Patient Name]]))</f>
        <v>Gopal Pandian</v>
      </c>
      <c r="D250" s="6">
        <v>56</v>
      </c>
      <c r="E250" s="6" t="s">
        <v>773</v>
      </c>
      <c r="F250" s="6"/>
      <c r="G250" s="7" t="s">
        <v>16</v>
      </c>
      <c r="H250" s="8">
        <v>45098</v>
      </c>
      <c r="I250" s="7" t="s">
        <v>28</v>
      </c>
      <c r="J250" s="7" t="s">
        <v>59</v>
      </c>
      <c r="K250" s="7" t="s">
        <v>60</v>
      </c>
      <c r="L250" s="7" t="s">
        <v>31</v>
      </c>
      <c r="M250" s="9">
        <v>500</v>
      </c>
      <c r="N250" s="35">
        <v>240</v>
      </c>
    </row>
    <row r="251" spans="1:14" ht="18" customHeight="1" x14ac:dyDescent="0.35">
      <c r="A251" s="26" t="s">
        <v>587</v>
      </c>
      <c r="B251" s="3" t="s">
        <v>588</v>
      </c>
      <c r="C251" s="3" t="str">
        <f>PROPER(TRIM(Table4[[#This Row],[Patient Name]]))</f>
        <v>Hema Selvam</v>
      </c>
      <c r="D251" s="2">
        <v>64</v>
      </c>
      <c r="E251" s="2" t="s">
        <v>772</v>
      </c>
      <c r="F251" s="2"/>
      <c r="G251" s="3" t="s">
        <v>80</v>
      </c>
      <c r="H251" s="4">
        <v>45426</v>
      </c>
      <c r="I251" s="3" t="s">
        <v>48</v>
      </c>
      <c r="J251" s="3" t="s">
        <v>54</v>
      </c>
      <c r="K251" s="3" t="s">
        <v>257</v>
      </c>
      <c r="L251" s="3" t="s">
        <v>51</v>
      </c>
      <c r="M251" s="5">
        <v>850</v>
      </c>
      <c r="N251" s="34">
        <v>190</v>
      </c>
    </row>
    <row r="252" spans="1:14" ht="18" customHeight="1" x14ac:dyDescent="0.35">
      <c r="A252" s="27" t="s">
        <v>589</v>
      </c>
      <c r="B252" s="7" t="s">
        <v>590</v>
      </c>
      <c r="C252" s="7" t="str">
        <f>PROPER(TRIM(Table4[[#This Row],[Patient Name]]))</f>
        <v>Ilango Pandian</v>
      </c>
      <c r="D252" s="6">
        <v>4</v>
      </c>
      <c r="E252" s="6" t="s">
        <v>772</v>
      </c>
      <c r="F252" s="6"/>
      <c r="G252" s="7" t="s">
        <v>80</v>
      </c>
      <c r="H252" s="8">
        <v>44967</v>
      </c>
      <c r="I252" s="7" t="s">
        <v>17</v>
      </c>
      <c r="J252" s="7" t="s">
        <v>18</v>
      </c>
      <c r="K252" s="7" t="s">
        <v>65</v>
      </c>
      <c r="L252" s="7" t="s">
        <v>66</v>
      </c>
      <c r="M252" s="9">
        <v>750</v>
      </c>
      <c r="N252" s="35">
        <v>380</v>
      </c>
    </row>
    <row r="253" spans="1:14" ht="18" customHeight="1" x14ac:dyDescent="0.35">
      <c r="A253" s="26" t="s">
        <v>591</v>
      </c>
      <c r="B253" s="3" t="s">
        <v>592</v>
      </c>
      <c r="C253" s="3" t="str">
        <f>PROPER(TRIM(Table4[[#This Row],[Patient Name]]))</f>
        <v>Janani Verma</v>
      </c>
      <c r="D253" s="2">
        <v>13</v>
      </c>
      <c r="E253" s="2" t="s">
        <v>772</v>
      </c>
      <c r="F253" s="2"/>
      <c r="G253" s="3" t="s">
        <v>80</v>
      </c>
      <c r="H253" s="4">
        <v>45329</v>
      </c>
      <c r="I253" s="3" t="s">
        <v>17</v>
      </c>
      <c r="J253" s="3" t="s">
        <v>64</v>
      </c>
      <c r="K253" s="3" t="s">
        <v>19</v>
      </c>
      <c r="L253" s="3" t="s">
        <v>24</v>
      </c>
      <c r="M253" s="5">
        <v>1150</v>
      </c>
      <c r="N253" s="34">
        <v>370</v>
      </c>
    </row>
    <row r="254" spans="1:14" ht="18" customHeight="1" x14ac:dyDescent="0.35">
      <c r="A254" s="27" t="s">
        <v>593</v>
      </c>
      <c r="B254" s="7" t="s">
        <v>594</v>
      </c>
      <c r="C254" s="7" t="str">
        <f>PROPER(TRIM(Table4[[#This Row],[Patient Name]]))</f>
        <v>Kabilan Menon</v>
      </c>
      <c r="D254" s="6">
        <v>74</v>
      </c>
      <c r="E254" s="6" t="s">
        <v>772</v>
      </c>
      <c r="F254" s="6"/>
      <c r="G254" s="7" t="s">
        <v>35</v>
      </c>
      <c r="H254" s="8">
        <v>45132</v>
      </c>
      <c r="I254" s="7" t="s">
        <v>17</v>
      </c>
      <c r="J254" s="7" t="s">
        <v>18</v>
      </c>
      <c r="K254" s="7" t="s">
        <v>192</v>
      </c>
      <c r="L254" s="7" t="s">
        <v>66</v>
      </c>
      <c r="M254" s="9">
        <v>1000</v>
      </c>
      <c r="N254" s="35">
        <v>490</v>
      </c>
    </row>
    <row r="255" spans="1:14" ht="18" customHeight="1" x14ac:dyDescent="0.35">
      <c r="A255" s="26" t="s">
        <v>595</v>
      </c>
      <c r="B255" s="3" t="s">
        <v>596</v>
      </c>
      <c r="C255" s="3" t="str">
        <f>PROPER(TRIM(Table4[[#This Row],[Patient Name]]))</f>
        <v>Lalitha Vel</v>
      </c>
      <c r="D255" s="2">
        <v>51</v>
      </c>
      <c r="E255" s="2" t="s">
        <v>773</v>
      </c>
      <c r="F255" s="2"/>
      <c r="G255" s="3" t="s">
        <v>80</v>
      </c>
      <c r="H255" s="4">
        <v>45276</v>
      </c>
      <c r="I255" s="3" t="s">
        <v>42</v>
      </c>
      <c r="J255" s="3" t="s">
        <v>89</v>
      </c>
      <c r="K255" s="3" t="s">
        <v>85</v>
      </c>
      <c r="L255" s="3" t="s">
        <v>119</v>
      </c>
      <c r="M255" s="5">
        <v>400</v>
      </c>
      <c r="N255" s="34">
        <v>260</v>
      </c>
    </row>
    <row r="256" spans="1:14" ht="18" customHeight="1" x14ac:dyDescent="0.35">
      <c r="A256" s="27" t="s">
        <v>597</v>
      </c>
      <c r="B256" s="7" t="s">
        <v>598</v>
      </c>
      <c r="C256" s="7" t="str">
        <f>PROPER(TRIM(Table4[[#This Row],[Patient Name]]))</f>
        <v>Muthu Kumar</v>
      </c>
      <c r="D256" s="6">
        <v>64</v>
      </c>
      <c r="E256" s="6" t="s">
        <v>772</v>
      </c>
      <c r="F256" s="6"/>
      <c r="G256" s="7" t="s">
        <v>27</v>
      </c>
      <c r="H256" s="8">
        <v>44995</v>
      </c>
      <c r="I256" s="7" t="s">
        <v>42</v>
      </c>
      <c r="J256" s="7" t="s">
        <v>43</v>
      </c>
      <c r="K256" s="7" t="s">
        <v>44</v>
      </c>
      <c r="L256" s="7" t="s">
        <v>119</v>
      </c>
      <c r="M256" s="9">
        <v>500</v>
      </c>
      <c r="N256" s="35">
        <v>380</v>
      </c>
    </row>
    <row r="257" spans="1:14" ht="18" customHeight="1" x14ac:dyDescent="0.35">
      <c r="A257" s="26" t="s">
        <v>599</v>
      </c>
      <c r="B257" s="3" t="s">
        <v>600</v>
      </c>
      <c r="C257" s="3" t="str">
        <f>PROPER(TRIM(Table4[[#This Row],[Patient Name]]))</f>
        <v>Nandini Nair</v>
      </c>
      <c r="D257" s="2">
        <v>36</v>
      </c>
      <c r="E257" s="2" t="s">
        <v>773</v>
      </c>
      <c r="F257" s="2"/>
      <c r="G257" s="3" t="s">
        <v>80</v>
      </c>
      <c r="H257" s="4">
        <v>44960</v>
      </c>
      <c r="I257" s="3" t="s">
        <v>36</v>
      </c>
      <c r="J257" s="3" t="s">
        <v>75</v>
      </c>
      <c r="K257" s="3" t="s">
        <v>144</v>
      </c>
      <c r="L257" s="3" t="s">
        <v>39</v>
      </c>
      <c r="M257" s="5">
        <v>850</v>
      </c>
      <c r="N257" s="34">
        <v>640</v>
      </c>
    </row>
    <row r="258" spans="1:14" ht="18" customHeight="1" x14ac:dyDescent="0.35">
      <c r="A258" s="27" t="s">
        <v>601</v>
      </c>
      <c r="B258" s="7" t="s">
        <v>602</v>
      </c>
      <c r="C258" s="7" t="str">
        <f>PROPER(TRIM(Table4[[#This Row],[Patient Name]]))</f>
        <v>Prakash Verma</v>
      </c>
      <c r="D258" s="6">
        <v>14</v>
      </c>
      <c r="E258" s="6" t="s">
        <v>772</v>
      </c>
      <c r="F258" s="6"/>
      <c r="G258" s="7" t="s">
        <v>80</v>
      </c>
      <c r="H258" s="8">
        <v>45007</v>
      </c>
      <c r="I258" s="7" t="s">
        <v>48</v>
      </c>
      <c r="J258" s="7" t="s">
        <v>54</v>
      </c>
      <c r="K258" s="7" t="s">
        <v>151</v>
      </c>
      <c r="L258" s="7" t="s">
        <v>114</v>
      </c>
      <c r="M258" s="9">
        <v>800</v>
      </c>
      <c r="N258" s="35">
        <v>450</v>
      </c>
    </row>
    <row r="259" spans="1:14" ht="18" customHeight="1" x14ac:dyDescent="0.35">
      <c r="A259" s="26" t="s">
        <v>603</v>
      </c>
      <c r="B259" s="3" t="s">
        <v>604</v>
      </c>
      <c r="C259" s="3" t="str">
        <f>PROPER(TRIM(Table4[[#This Row],[Patient Name]]))</f>
        <v>Ramya Reddy</v>
      </c>
      <c r="D259" s="2">
        <v>54</v>
      </c>
      <c r="E259" s="2" t="s">
        <v>773</v>
      </c>
      <c r="F259" s="2"/>
      <c r="G259" s="3" t="s">
        <v>27</v>
      </c>
      <c r="H259" s="4">
        <v>45019</v>
      </c>
      <c r="I259" s="3" t="s">
        <v>42</v>
      </c>
      <c r="J259" s="3" t="s">
        <v>89</v>
      </c>
      <c r="K259" s="3" t="s">
        <v>85</v>
      </c>
      <c r="L259" s="3" t="s">
        <v>86</v>
      </c>
      <c r="M259" s="5">
        <v>300</v>
      </c>
      <c r="N259" s="34">
        <v>160</v>
      </c>
    </row>
    <row r="260" spans="1:14" ht="18" customHeight="1" x14ac:dyDescent="0.35">
      <c r="A260" s="27" t="s">
        <v>605</v>
      </c>
      <c r="B260" s="7" t="s">
        <v>606</v>
      </c>
      <c r="C260" s="7" t="str">
        <f>PROPER(TRIM(Table4[[#This Row],[Patient Name]]))</f>
        <v>Selvam Devi</v>
      </c>
      <c r="D260" s="6">
        <v>53</v>
      </c>
      <c r="E260" s="6" t="s">
        <v>773</v>
      </c>
      <c r="F260" s="6"/>
      <c r="G260" s="7" t="s">
        <v>35</v>
      </c>
      <c r="H260" s="8">
        <v>45061</v>
      </c>
      <c r="I260" s="7" t="s">
        <v>42</v>
      </c>
      <c r="J260" s="7" t="s">
        <v>89</v>
      </c>
      <c r="K260" s="7" t="s">
        <v>110</v>
      </c>
      <c r="L260" s="7" t="s">
        <v>197</v>
      </c>
      <c r="M260" s="9">
        <v>350</v>
      </c>
      <c r="N260" s="35">
        <v>190</v>
      </c>
    </row>
    <row r="261" spans="1:14" ht="18" customHeight="1" x14ac:dyDescent="0.35">
      <c r="A261" s="26" t="s">
        <v>607</v>
      </c>
      <c r="B261" s="3" t="s">
        <v>608</v>
      </c>
      <c r="C261" s="3" t="str">
        <f>PROPER(TRIM(Table4[[#This Row],[Patient Name]]))</f>
        <v>Thenmozhi Sharma</v>
      </c>
      <c r="D261" s="2">
        <v>45</v>
      </c>
      <c r="E261" s="2" t="s">
        <v>772</v>
      </c>
      <c r="F261" s="2"/>
      <c r="G261" s="3" t="s">
        <v>107</v>
      </c>
      <c r="H261" s="4">
        <v>45125</v>
      </c>
      <c r="I261" s="3" t="s">
        <v>48</v>
      </c>
      <c r="J261" s="3" t="s">
        <v>49</v>
      </c>
      <c r="K261" s="3" t="s">
        <v>257</v>
      </c>
      <c r="L261" s="3" t="s">
        <v>95</v>
      </c>
      <c r="M261" s="5">
        <v>650</v>
      </c>
      <c r="N261" s="34">
        <v>370</v>
      </c>
    </row>
    <row r="262" spans="1:14" ht="18" customHeight="1" x14ac:dyDescent="0.35">
      <c r="A262" s="27" t="s">
        <v>609</v>
      </c>
      <c r="B262" s="7" t="s">
        <v>610</v>
      </c>
      <c r="C262" s="7" t="str">
        <f>PROPER(TRIM(Table4[[#This Row],[Patient Name]]))</f>
        <v>Uma Sharma</v>
      </c>
      <c r="D262" s="6">
        <v>20</v>
      </c>
      <c r="E262" s="6" t="s">
        <v>772</v>
      </c>
      <c r="F262" s="6"/>
      <c r="G262" s="7" t="s">
        <v>80</v>
      </c>
      <c r="H262" s="8">
        <v>45280</v>
      </c>
      <c r="I262" s="7" t="s">
        <v>42</v>
      </c>
      <c r="J262" s="7" t="s">
        <v>89</v>
      </c>
      <c r="K262" s="7" t="s">
        <v>110</v>
      </c>
      <c r="L262" s="7" t="s">
        <v>72</v>
      </c>
      <c r="M262" s="9">
        <v>350</v>
      </c>
      <c r="N262" s="35">
        <v>100</v>
      </c>
    </row>
    <row r="263" spans="1:14" ht="18" customHeight="1" x14ac:dyDescent="0.35">
      <c r="A263" s="26" t="s">
        <v>611</v>
      </c>
      <c r="B263" s="3" t="s">
        <v>612</v>
      </c>
      <c r="C263" s="3" t="str">
        <f>PROPER(TRIM(Table4[[#This Row],[Patient Name]]))</f>
        <v>Vijaya Subramanian</v>
      </c>
      <c r="D263" s="2">
        <v>49</v>
      </c>
      <c r="E263" s="2" t="s">
        <v>772</v>
      </c>
      <c r="F263" s="2"/>
      <c r="G263" s="3" t="s">
        <v>16</v>
      </c>
      <c r="H263" s="4">
        <v>45190</v>
      </c>
      <c r="I263" s="3" t="s">
        <v>17</v>
      </c>
      <c r="J263" s="3" t="s">
        <v>23</v>
      </c>
      <c r="K263" s="3" t="s">
        <v>154</v>
      </c>
      <c r="L263" s="3" t="s">
        <v>66</v>
      </c>
      <c r="M263" s="5">
        <v>1150</v>
      </c>
      <c r="N263" s="34">
        <v>760</v>
      </c>
    </row>
    <row r="264" spans="1:14" ht="18" customHeight="1" x14ac:dyDescent="0.35">
      <c r="A264" s="27" t="s">
        <v>613</v>
      </c>
      <c r="B264" s="7" t="s">
        <v>614</v>
      </c>
      <c r="C264" s="7" t="str">
        <f>PROPER(TRIM(Table4[[#This Row],[Patient Name]]))</f>
        <v>Anbu Verma</v>
      </c>
      <c r="D264" s="6">
        <v>70</v>
      </c>
      <c r="E264" s="6" t="s">
        <v>773</v>
      </c>
      <c r="F264" s="6"/>
      <c r="G264" s="7" t="s">
        <v>27</v>
      </c>
      <c r="H264" s="8">
        <v>45461</v>
      </c>
      <c r="I264" s="7" t="s">
        <v>48</v>
      </c>
      <c r="J264" s="7" t="s">
        <v>49</v>
      </c>
      <c r="K264" s="7" t="s">
        <v>94</v>
      </c>
      <c r="L264" s="7" t="s">
        <v>56</v>
      </c>
      <c r="M264" s="9">
        <v>600</v>
      </c>
      <c r="N264" s="35">
        <v>490</v>
      </c>
    </row>
    <row r="265" spans="1:14" ht="18" customHeight="1" x14ac:dyDescent="0.35">
      <c r="A265" s="26" t="s">
        <v>615</v>
      </c>
      <c r="B265" s="3" t="s">
        <v>616</v>
      </c>
      <c r="C265" s="3" t="str">
        <f>PROPER(TRIM(Table4[[#This Row],[Patient Name]]))</f>
        <v>Bala Krishnan</v>
      </c>
      <c r="D265" s="2">
        <v>42</v>
      </c>
      <c r="E265" s="2" t="s">
        <v>773</v>
      </c>
      <c r="F265" s="2"/>
      <c r="G265" s="3" t="s">
        <v>27</v>
      </c>
      <c r="H265" s="4">
        <v>45059</v>
      </c>
      <c r="I265" s="3" t="s">
        <v>17</v>
      </c>
      <c r="J265" s="3" t="s">
        <v>23</v>
      </c>
      <c r="K265" s="3" t="s">
        <v>19</v>
      </c>
      <c r="L265" s="3" t="s">
        <v>226</v>
      </c>
      <c r="M265" s="5">
        <v>1050</v>
      </c>
      <c r="N265" s="34">
        <v>780</v>
      </c>
    </row>
    <row r="266" spans="1:14" ht="18" customHeight="1" x14ac:dyDescent="0.35">
      <c r="A266" s="27" t="s">
        <v>617</v>
      </c>
      <c r="B266" s="7" t="s">
        <v>618</v>
      </c>
      <c r="C266" s="7" t="str">
        <f>PROPER(TRIM(Table4[[#This Row],[Patient Name]]))</f>
        <v>Chandra Balan</v>
      </c>
      <c r="D266" s="6">
        <v>64</v>
      </c>
      <c r="E266" s="6" t="s">
        <v>772</v>
      </c>
      <c r="F266" s="6"/>
      <c r="G266" s="7" t="s">
        <v>27</v>
      </c>
      <c r="H266" s="8">
        <v>45478</v>
      </c>
      <c r="I266" s="7" t="s">
        <v>42</v>
      </c>
      <c r="J266" s="7" t="s">
        <v>70</v>
      </c>
      <c r="K266" s="7" t="s">
        <v>128</v>
      </c>
      <c r="L266" s="7" t="s">
        <v>45</v>
      </c>
      <c r="M266" s="9">
        <v>300</v>
      </c>
      <c r="N266" s="35">
        <v>220</v>
      </c>
    </row>
    <row r="267" spans="1:14" ht="18" customHeight="1" x14ac:dyDescent="0.35">
      <c r="A267" s="26" t="s">
        <v>619</v>
      </c>
      <c r="B267" s="3" t="s">
        <v>620</v>
      </c>
      <c r="C267" s="3" t="str">
        <f>PROPER(TRIM(Table4[[#This Row],[Patient Name]]))</f>
        <v>Durai Selvam</v>
      </c>
      <c r="D267" s="2">
        <v>18</v>
      </c>
      <c r="E267" s="2" t="s">
        <v>773</v>
      </c>
      <c r="F267" s="2"/>
      <c r="G267" s="3" t="s">
        <v>80</v>
      </c>
      <c r="H267" s="4">
        <v>45616</v>
      </c>
      <c r="I267" s="3" t="s">
        <v>42</v>
      </c>
      <c r="J267" s="3" t="s">
        <v>43</v>
      </c>
      <c r="K267" s="3" t="s">
        <v>128</v>
      </c>
      <c r="L267" s="3" t="s">
        <v>197</v>
      </c>
      <c r="M267" s="5">
        <v>350</v>
      </c>
      <c r="N267" s="34">
        <v>160</v>
      </c>
    </row>
    <row r="268" spans="1:14" ht="18" customHeight="1" x14ac:dyDescent="0.35">
      <c r="A268" s="27" t="s">
        <v>621</v>
      </c>
      <c r="B268" s="7" t="s">
        <v>622</v>
      </c>
      <c r="C268" s="7" t="str">
        <f>PROPER(TRIM(Table4[[#This Row],[Patient Name]]))</f>
        <v>Ezhil Raja</v>
      </c>
      <c r="D268" s="6">
        <v>41</v>
      </c>
      <c r="E268" s="6" t="s">
        <v>772</v>
      </c>
      <c r="F268" s="6"/>
      <c r="G268" s="7" t="s">
        <v>107</v>
      </c>
      <c r="H268" s="8">
        <v>45481</v>
      </c>
      <c r="I268" s="7" t="s">
        <v>36</v>
      </c>
      <c r="J268" s="7" t="s">
        <v>37</v>
      </c>
      <c r="K268" s="7" t="s">
        <v>144</v>
      </c>
      <c r="L268" s="7" t="s">
        <v>189</v>
      </c>
      <c r="M268" s="9">
        <v>950</v>
      </c>
      <c r="N268" s="35">
        <v>660</v>
      </c>
    </row>
    <row r="269" spans="1:14" ht="18" customHeight="1" x14ac:dyDescent="0.35">
      <c r="A269" s="26" t="s">
        <v>623</v>
      </c>
      <c r="B269" s="3" t="s">
        <v>624</v>
      </c>
      <c r="C269" s="3" t="str">
        <f>PROPER(TRIM(Table4[[#This Row],[Patient Name]]))</f>
        <v>Guna Devi</v>
      </c>
      <c r="D269" s="2">
        <v>50</v>
      </c>
      <c r="E269" s="2" t="s">
        <v>773</v>
      </c>
      <c r="F269" s="2"/>
      <c r="G269" s="3" t="s">
        <v>35</v>
      </c>
      <c r="H269" s="4">
        <v>45570</v>
      </c>
      <c r="I269" s="3" t="s">
        <v>42</v>
      </c>
      <c r="J269" s="3" t="s">
        <v>43</v>
      </c>
      <c r="K269" s="3" t="s">
        <v>128</v>
      </c>
      <c r="L269" s="3" t="s">
        <v>45</v>
      </c>
      <c r="M269" s="5">
        <v>350</v>
      </c>
      <c r="N269" s="34">
        <v>250</v>
      </c>
    </row>
    <row r="270" spans="1:14" ht="18" customHeight="1" x14ac:dyDescent="0.35">
      <c r="A270" s="27" t="s">
        <v>625</v>
      </c>
      <c r="B270" s="7" t="s">
        <v>626</v>
      </c>
      <c r="C270" s="7" t="str">
        <f>PROPER(TRIM(Table4[[#This Row],[Patient Name]]))</f>
        <v>Hari Devi</v>
      </c>
      <c r="D270" s="6">
        <v>15</v>
      </c>
      <c r="E270" s="6" t="s">
        <v>773</v>
      </c>
      <c r="F270" s="6"/>
      <c r="G270" s="7" t="s">
        <v>107</v>
      </c>
      <c r="H270" s="8">
        <v>45153</v>
      </c>
      <c r="I270" s="7" t="s">
        <v>48</v>
      </c>
      <c r="J270" s="7" t="s">
        <v>54</v>
      </c>
      <c r="K270" s="7" t="s">
        <v>50</v>
      </c>
      <c r="L270" s="7" t="s">
        <v>114</v>
      </c>
      <c r="M270" s="9">
        <v>600</v>
      </c>
      <c r="N270" s="35">
        <v>500</v>
      </c>
    </row>
    <row r="271" spans="1:14" ht="18" customHeight="1" x14ac:dyDescent="0.35">
      <c r="A271" s="26" t="s">
        <v>627</v>
      </c>
      <c r="B271" s="3" t="s">
        <v>628</v>
      </c>
      <c r="C271" s="3" t="str">
        <f>PROPER(TRIM(Table4[[#This Row],[Patient Name]]))</f>
        <v>Indu Verma</v>
      </c>
      <c r="D271" s="2">
        <v>50</v>
      </c>
      <c r="E271" s="2" t="s">
        <v>773</v>
      </c>
      <c r="F271" s="2"/>
      <c r="G271" s="3" t="s">
        <v>16</v>
      </c>
      <c r="H271" s="4">
        <v>45268</v>
      </c>
      <c r="I271" s="3" t="s">
        <v>48</v>
      </c>
      <c r="J271" s="3" t="s">
        <v>93</v>
      </c>
      <c r="K271" s="3" t="s">
        <v>94</v>
      </c>
      <c r="L271" s="3" t="s">
        <v>114</v>
      </c>
      <c r="M271" s="5">
        <v>600</v>
      </c>
      <c r="N271" s="34">
        <v>400</v>
      </c>
    </row>
    <row r="272" spans="1:14" ht="18" customHeight="1" x14ac:dyDescent="0.35">
      <c r="A272" s="27" t="s">
        <v>629</v>
      </c>
      <c r="B272" s="7" t="s">
        <v>630</v>
      </c>
      <c r="C272" s="7" t="str">
        <f>PROPER(TRIM(Table4[[#This Row],[Patient Name]]))</f>
        <v>Jothi Menon</v>
      </c>
      <c r="D272" s="6">
        <v>48</v>
      </c>
      <c r="E272" s="6" t="s">
        <v>772</v>
      </c>
      <c r="F272" s="6"/>
      <c r="G272" s="7" t="s">
        <v>27</v>
      </c>
      <c r="H272" s="8">
        <v>45013</v>
      </c>
      <c r="I272" s="7" t="s">
        <v>17</v>
      </c>
      <c r="J272" s="7" t="s">
        <v>23</v>
      </c>
      <c r="K272" s="7" t="s">
        <v>147</v>
      </c>
      <c r="L272" s="7" t="s">
        <v>24</v>
      </c>
      <c r="M272" s="9">
        <v>1000</v>
      </c>
      <c r="N272" s="35">
        <v>610</v>
      </c>
    </row>
    <row r="273" spans="1:14" ht="18" customHeight="1" x14ac:dyDescent="0.35">
      <c r="A273" s="26" t="s">
        <v>631</v>
      </c>
      <c r="B273" s="3" t="s">
        <v>632</v>
      </c>
      <c r="C273" s="3" t="str">
        <f>PROPER(TRIM(Table4[[#This Row],[Patient Name]]))</f>
        <v>Kamal Nair</v>
      </c>
      <c r="D273" s="2">
        <v>70</v>
      </c>
      <c r="E273" s="2" t="s">
        <v>773</v>
      </c>
      <c r="F273" s="2"/>
      <c r="G273" s="3" t="s">
        <v>27</v>
      </c>
      <c r="H273" s="4">
        <v>45090</v>
      </c>
      <c r="I273" s="3" t="s">
        <v>17</v>
      </c>
      <c r="J273" s="3" t="s">
        <v>23</v>
      </c>
      <c r="K273" s="3" t="s">
        <v>65</v>
      </c>
      <c r="L273" s="3" t="s">
        <v>148</v>
      </c>
      <c r="M273" s="5">
        <v>1150</v>
      </c>
      <c r="N273" s="34">
        <v>760</v>
      </c>
    </row>
    <row r="274" spans="1:14" ht="18" customHeight="1" x14ac:dyDescent="0.35">
      <c r="A274" s="27" t="s">
        <v>633</v>
      </c>
      <c r="B274" s="7" t="s">
        <v>634</v>
      </c>
      <c r="C274" s="7" t="str">
        <f>PROPER(TRIM(Table4[[#This Row],[Patient Name]]))</f>
        <v>Lekha Murugan</v>
      </c>
      <c r="D274" s="6">
        <v>42</v>
      </c>
      <c r="E274" s="6" t="s">
        <v>773</v>
      </c>
      <c r="F274" s="6"/>
      <c r="G274" s="7" t="s">
        <v>35</v>
      </c>
      <c r="H274" s="8">
        <v>45459</v>
      </c>
      <c r="I274" s="7" t="s">
        <v>17</v>
      </c>
      <c r="J274" s="7" t="s">
        <v>64</v>
      </c>
      <c r="K274" s="7" t="s">
        <v>19</v>
      </c>
      <c r="L274" s="7" t="s">
        <v>66</v>
      </c>
      <c r="M274" s="9">
        <v>1050</v>
      </c>
      <c r="N274" s="35">
        <v>430</v>
      </c>
    </row>
    <row r="275" spans="1:14" ht="18" customHeight="1" x14ac:dyDescent="0.35">
      <c r="A275" s="26" t="s">
        <v>635</v>
      </c>
      <c r="B275" s="3" t="s">
        <v>636</v>
      </c>
      <c r="C275" s="3" t="str">
        <f>PROPER(TRIM(Table4[[#This Row],[Patient Name]]))</f>
        <v>Malar Murugan</v>
      </c>
      <c r="D275" s="2">
        <v>63</v>
      </c>
      <c r="E275" s="2" t="s">
        <v>773</v>
      </c>
      <c r="F275" s="2"/>
      <c r="G275" s="3" t="s">
        <v>35</v>
      </c>
      <c r="H275" s="4">
        <v>45408</v>
      </c>
      <c r="I275" s="3" t="s">
        <v>48</v>
      </c>
      <c r="J275" s="3" t="s">
        <v>93</v>
      </c>
      <c r="K275" s="3" t="s">
        <v>94</v>
      </c>
      <c r="L275" s="3" t="s">
        <v>51</v>
      </c>
      <c r="M275" s="5">
        <v>650</v>
      </c>
      <c r="N275" s="34">
        <v>230</v>
      </c>
    </row>
    <row r="276" spans="1:14" ht="18" customHeight="1" x14ac:dyDescent="0.35">
      <c r="A276" s="27" t="s">
        <v>637</v>
      </c>
      <c r="B276" s="7" t="s">
        <v>638</v>
      </c>
      <c r="C276" s="7" t="str">
        <f>PROPER(TRIM(Table4[[#This Row],[Patient Name]]))</f>
        <v>Naga Iyer</v>
      </c>
      <c r="D276" s="6">
        <v>16</v>
      </c>
      <c r="E276" s="6" t="s">
        <v>773</v>
      </c>
      <c r="F276" s="6"/>
      <c r="G276" s="7" t="s">
        <v>16</v>
      </c>
      <c r="H276" s="8">
        <v>45225</v>
      </c>
      <c r="I276" s="7" t="s">
        <v>17</v>
      </c>
      <c r="J276" s="7" t="s">
        <v>18</v>
      </c>
      <c r="K276" s="7" t="s">
        <v>154</v>
      </c>
      <c r="L276" s="7" t="s">
        <v>66</v>
      </c>
      <c r="M276" s="9">
        <v>800</v>
      </c>
      <c r="N276" s="35">
        <v>300</v>
      </c>
    </row>
    <row r="277" spans="1:14" ht="18" customHeight="1" x14ac:dyDescent="0.35">
      <c r="A277" s="26" t="s">
        <v>639</v>
      </c>
      <c r="B277" s="3" t="s">
        <v>640</v>
      </c>
      <c r="C277" s="3" t="str">
        <f>PROPER(TRIM(Table4[[#This Row],[Patient Name]]))</f>
        <v>Oviya Singh</v>
      </c>
      <c r="D277" s="2">
        <v>33</v>
      </c>
      <c r="E277" s="2" t="s">
        <v>773</v>
      </c>
      <c r="F277" s="2"/>
      <c r="G277" s="3" t="s">
        <v>16</v>
      </c>
      <c r="H277" s="4">
        <v>45497</v>
      </c>
      <c r="I277" s="3" t="s">
        <v>42</v>
      </c>
      <c r="J277" s="3" t="s">
        <v>43</v>
      </c>
      <c r="K277" s="3" t="s">
        <v>128</v>
      </c>
      <c r="L277" s="3" t="s">
        <v>90</v>
      </c>
      <c r="M277" s="5">
        <v>400</v>
      </c>
      <c r="N277" s="34">
        <v>140</v>
      </c>
    </row>
    <row r="278" spans="1:14" ht="18" customHeight="1" x14ac:dyDescent="0.35">
      <c r="A278" s="27" t="s">
        <v>641</v>
      </c>
      <c r="B278" s="7" t="s">
        <v>642</v>
      </c>
      <c r="C278" s="7" t="str">
        <f>PROPER(TRIM(Table4[[#This Row],[Patient Name]]))</f>
        <v>Pari Narayanan</v>
      </c>
      <c r="D278" s="6">
        <v>26</v>
      </c>
      <c r="E278" s="6" t="s">
        <v>772</v>
      </c>
      <c r="F278" s="6"/>
      <c r="G278" s="7" t="s">
        <v>35</v>
      </c>
      <c r="H278" s="8">
        <v>45062</v>
      </c>
      <c r="I278" s="7" t="s">
        <v>17</v>
      </c>
      <c r="J278" s="7" t="s">
        <v>64</v>
      </c>
      <c r="K278" s="7" t="s">
        <v>154</v>
      </c>
      <c r="L278" s="7" t="s">
        <v>148</v>
      </c>
      <c r="M278" s="9">
        <v>950</v>
      </c>
      <c r="N278" s="35">
        <v>750</v>
      </c>
    </row>
    <row r="279" spans="1:14" ht="18" customHeight="1" x14ac:dyDescent="0.35">
      <c r="A279" s="26" t="s">
        <v>643</v>
      </c>
      <c r="B279" s="3" t="s">
        <v>644</v>
      </c>
      <c r="C279" s="3" t="str">
        <f>PROPER(TRIM(Table4[[#This Row],[Patient Name]]))</f>
        <v>Raja Patel</v>
      </c>
      <c r="D279" s="2">
        <v>60</v>
      </c>
      <c r="E279" s="2" t="s">
        <v>772</v>
      </c>
      <c r="F279" s="2"/>
      <c r="G279" s="3" t="s">
        <v>69</v>
      </c>
      <c r="H279" s="4">
        <v>45360</v>
      </c>
      <c r="I279" s="3" t="s">
        <v>36</v>
      </c>
      <c r="J279" s="3" t="s">
        <v>75</v>
      </c>
      <c r="K279" s="3" t="s">
        <v>104</v>
      </c>
      <c r="L279" s="3" t="s">
        <v>39</v>
      </c>
      <c r="M279" s="5">
        <v>700</v>
      </c>
      <c r="N279" s="34">
        <v>460</v>
      </c>
    </row>
    <row r="280" spans="1:14" ht="18" customHeight="1" x14ac:dyDescent="0.35">
      <c r="A280" s="27" t="s">
        <v>645</v>
      </c>
      <c r="B280" s="7" t="s">
        <v>646</v>
      </c>
      <c r="C280" s="7" t="str">
        <f>PROPER(TRIM(Table4[[#This Row],[Patient Name]]))</f>
        <v>Suba Pillai</v>
      </c>
      <c r="D280" s="6">
        <v>54</v>
      </c>
      <c r="E280" s="6" t="s">
        <v>772</v>
      </c>
      <c r="F280" s="6"/>
      <c r="G280" s="7" t="s">
        <v>16</v>
      </c>
      <c r="H280" s="8">
        <v>45431</v>
      </c>
      <c r="I280" s="7" t="s">
        <v>48</v>
      </c>
      <c r="J280" s="7" t="s">
        <v>54</v>
      </c>
      <c r="K280" s="7" t="s">
        <v>94</v>
      </c>
      <c r="L280" s="7" t="s">
        <v>95</v>
      </c>
      <c r="M280" s="9">
        <v>700</v>
      </c>
      <c r="N280" s="35">
        <v>400</v>
      </c>
    </row>
    <row r="281" spans="1:14" ht="18" customHeight="1" x14ac:dyDescent="0.35">
      <c r="A281" s="26" t="s">
        <v>647</v>
      </c>
      <c r="B281" s="3" t="s">
        <v>648</v>
      </c>
      <c r="C281" s="3" t="str">
        <f>PROPER(TRIM(Table4[[#This Row],[Patient Name]]))</f>
        <v>Tamil Pillai</v>
      </c>
      <c r="D281" s="2">
        <v>29</v>
      </c>
      <c r="E281" s="2" t="s">
        <v>772</v>
      </c>
      <c r="F281" s="2"/>
      <c r="G281" s="3" t="s">
        <v>35</v>
      </c>
      <c r="H281" s="4">
        <v>45008</v>
      </c>
      <c r="I281" s="3" t="s">
        <v>28</v>
      </c>
      <c r="J281" s="3" t="s">
        <v>29</v>
      </c>
      <c r="K281" s="3" t="s">
        <v>123</v>
      </c>
      <c r="L281" s="3" t="s">
        <v>111</v>
      </c>
      <c r="M281" s="5">
        <v>700</v>
      </c>
      <c r="N281" s="34">
        <v>140</v>
      </c>
    </row>
    <row r="282" spans="1:14" ht="18" customHeight="1" x14ac:dyDescent="0.35">
      <c r="A282" s="27" t="s">
        <v>649</v>
      </c>
      <c r="B282" s="7" t="s">
        <v>650</v>
      </c>
      <c r="C282" s="7" t="str">
        <f>PROPER(TRIM(Table4[[#This Row],[Patient Name]]))</f>
        <v>Vani Narayanan</v>
      </c>
      <c r="D282" s="6">
        <v>35</v>
      </c>
      <c r="E282" s="6" t="s">
        <v>773</v>
      </c>
      <c r="F282" s="6"/>
      <c r="G282" s="7" t="s">
        <v>27</v>
      </c>
      <c r="H282" s="8">
        <v>45252</v>
      </c>
      <c r="I282" s="7" t="s">
        <v>28</v>
      </c>
      <c r="J282" s="7" t="s">
        <v>122</v>
      </c>
      <c r="K282" s="7" t="s">
        <v>30</v>
      </c>
      <c r="L282" s="7" t="s">
        <v>31</v>
      </c>
      <c r="M282" s="9">
        <v>550</v>
      </c>
      <c r="N282" s="35">
        <v>110</v>
      </c>
    </row>
    <row r="283" spans="1:14" ht="18" customHeight="1" x14ac:dyDescent="0.35">
      <c r="A283" s="26" t="s">
        <v>651</v>
      </c>
      <c r="B283" s="3" t="s">
        <v>652</v>
      </c>
      <c r="C283" s="3" t="str">
        <f>PROPER(TRIM(Table4[[#This Row],[Patient Name]]))</f>
        <v>Yamuna Raja</v>
      </c>
      <c r="D283" s="2">
        <v>74</v>
      </c>
      <c r="E283" s="2" t="s">
        <v>772</v>
      </c>
      <c r="F283" s="2"/>
      <c r="G283" s="3" t="s">
        <v>35</v>
      </c>
      <c r="H283" s="4">
        <v>45254</v>
      </c>
      <c r="I283" s="3" t="s">
        <v>48</v>
      </c>
      <c r="J283" s="3" t="s">
        <v>93</v>
      </c>
      <c r="K283" s="3" t="s">
        <v>50</v>
      </c>
      <c r="L283" s="3" t="s">
        <v>56</v>
      </c>
      <c r="M283" s="5">
        <v>650</v>
      </c>
      <c r="N283" s="34">
        <v>380</v>
      </c>
    </row>
    <row r="284" spans="1:14" ht="18" customHeight="1" x14ac:dyDescent="0.35">
      <c r="A284" s="27" t="s">
        <v>653</v>
      </c>
      <c r="B284" s="7" t="s">
        <v>654</v>
      </c>
      <c r="C284" s="7" t="str">
        <f>PROPER(TRIM(Table4[[#This Row],[Patient Name]]))</f>
        <v>Abinaya Raja</v>
      </c>
      <c r="D284" s="6">
        <v>39</v>
      </c>
      <c r="E284" s="6" t="s">
        <v>772</v>
      </c>
      <c r="F284" s="6"/>
      <c r="G284" s="7" t="s">
        <v>35</v>
      </c>
      <c r="H284" s="8">
        <v>45037</v>
      </c>
      <c r="I284" s="7" t="s">
        <v>48</v>
      </c>
      <c r="J284" s="7" t="s">
        <v>93</v>
      </c>
      <c r="K284" s="7" t="s">
        <v>94</v>
      </c>
      <c r="L284" s="7" t="s">
        <v>95</v>
      </c>
      <c r="M284" s="9">
        <v>550</v>
      </c>
      <c r="N284" s="35">
        <v>340</v>
      </c>
    </row>
    <row r="285" spans="1:14" ht="18" customHeight="1" x14ac:dyDescent="0.35">
      <c r="A285" s="26" t="s">
        <v>655</v>
      </c>
      <c r="B285" s="3" t="s">
        <v>656</v>
      </c>
      <c r="C285" s="3" t="str">
        <f>PROPER(TRIM(Table4[[#This Row],[Patient Name]]))</f>
        <v>Boopathi Murugan</v>
      </c>
      <c r="D285" s="2">
        <v>47</v>
      </c>
      <c r="E285" s="2" t="s">
        <v>772</v>
      </c>
      <c r="F285" s="2"/>
      <c r="G285" s="3" t="s">
        <v>16</v>
      </c>
      <c r="H285" s="4">
        <v>45469</v>
      </c>
      <c r="I285" s="3" t="s">
        <v>42</v>
      </c>
      <c r="J285" s="3" t="s">
        <v>70</v>
      </c>
      <c r="K285" s="3" t="s">
        <v>128</v>
      </c>
      <c r="L285" s="3" t="s">
        <v>72</v>
      </c>
      <c r="M285" s="5">
        <v>400</v>
      </c>
      <c r="N285" s="34">
        <v>310</v>
      </c>
    </row>
    <row r="286" spans="1:14" ht="18" customHeight="1" x14ac:dyDescent="0.35">
      <c r="A286" s="27" t="s">
        <v>657</v>
      </c>
      <c r="B286" s="7" t="s">
        <v>658</v>
      </c>
      <c r="C286" s="7" t="str">
        <f>PROPER(TRIM(Table4[[#This Row],[Patient Name]]))</f>
        <v>Chelvi Subramanian</v>
      </c>
      <c r="D286" s="6">
        <v>21</v>
      </c>
      <c r="E286" s="6" t="s">
        <v>773</v>
      </c>
      <c r="F286" s="6"/>
      <c r="G286" s="7" t="s">
        <v>16</v>
      </c>
      <c r="H286" s="8">
        <v>45420</v>
      </c>
      <c r="I286" s="7" t="s">
        <v>36</v>
      </c>
      <c r="J286" s="7" t="s">
        <v>37</v>
      </c>
      <c r="K286" s="7" t="s">
        <v>104</v>
      </c>
      <c r="L286" s="7" t="s">
        <v>189</v>
      </c>
      <c r="M286" s="9">
        <v>900</v>
      </c>
      <c r="N286" s="35">
        <v>260</v>
      </c>
    </row>
    <row r="287" spans="1:14" ht="18" customHeight="1" x14ac:dyDescent="0.35">
      <c r="A287" s="26" t="s">
        <v>659</v>
      </c>
      <c r="B287" s="3" t="s">
        <v>660</v>
      </c>
      <c r="C287" s="3" t="str">
        <f>PROPER(TRIM(Table4[[#This Row],[Patient Name]]))</f>
        <v>Deva Balan</v>
      </c>
      <c r="D287" s="2">
        <v>30</v>
      </c>
      <c r="E287" s="2" t="s">
        <v>772</v>
      </c>
      <c r="F287" s="2"/>
      <c r="G287" s="3" t="s">
        <v>16</v>
      </c>
      <c r="H287" s="4">
        <v>44978</v>
      </c>
      <c r="I287" s="3" t="s">
        <v>36</v>
      </c>
      <c r="J287" s="3" t="s">
        <v>75</v>
      </c>
      <c r="K287" s="3" t="s">
        <v>104</v>
      </c>
      <c r="L287" s="3" t="s">
        <v>82</v>
      </c>
      <c r="M287" s="5">
        <v>600</v>
      </c>
      <c r="N287" s="34">
        <v>430</v>
      </c>
    </row>
    <row r="288" spans="1:14" ht="18" customHeight="1" x14ac:dyDescent="0.35">
      <c r="A288" s="27" t="s">
        <v>661</v>
      </c>
      <c r="B288" s="7" t="s">
        <v>662</v>
      </c>
      <c r="C288" s="7" t="str">
        <f>PROPER(TRIM(Table4[[#This Row],[Patient Name]]))</f>
        <v>Elaya Raja</v>
      </c>
      <c r="D288" s="6">
        <v>5</v>
      </c>
      <c r="E288" s="6" t="s">
        <v>773</v>
      </c>
      <c r="F288" s="6"/>
      <c r="G288" s="7" t="s">
        <v>69</v>
      </c>
      <c r="H288" s="8">
        <v>45331</v>
      </c>
      <c r="I288" s="7" t="s">
        <v>48</v>
      </c>
      <c r="J288" s="7" t="s">
        <v>49</v>
      </c>
      <c r="K288" s="7" t="s">
        <v>50</v>
      </c>
      <c r="L288" s="7" t="s">
        <v>114</v>
      </c>
      <c r="M288" s="9">
        <v>650</v>
      </c>
      <c r="N288" s="35">
        <v>440</v>
      </c>
    </row>
    <row r="289" spans="1:14" ht="18" customHeight="1" x14ac:dyDescent="0.35">
      <c r="A289" s="26" t="s">
        <v>663</v>
      </c>
      <c r="B289" s="3" t="s">
        <v>664</v>
      </c>
      <c r="C289" s="3" t="str">
        <f>PROPER(TRIM(Table4[[#This Row],[Patient Name]]))</f>
        <v>Guru Iyer</v>
      </c>
      <c r="D289" s="2">
        <v>21</v>
      </c>
      <c r="E289" s="2" t="s">
        <v>773</v>
      </c>
      <c r="F289" s="2"/>
      <c r="G289" s="3" t="s">
        <v>16</v>
      </c>
      <c r="H289" s="4">
        <v>45357</v>
      </c>
      <c r="I289" s="3" t="s">
        <v>42</v>
      </c>
      <c r="J289" s="3" t="s">
        <v>70</v>
      </c>
      <c r="K289" s="3" t="s">
        <v>71</v>
      </c>
      <c r="L289" s="3" t="s">
        <v>45</v>
      </c>
      <c r="M289" s="5">
        <v>350</v>
      </c>
      <c r="N289" s="34">
        <v>230</v>
      </c>
    </row>
    <row r="290" spans="1:14" ht="18" customHeight="1" x14ac:dyDescent="0.35">
      <c r="A290" s="27" t="s">
        <v>665</v>
      </c>
      <c r="B290" s="7" t="s">
        <v>666</v>
      </c>
      <c r="C290" s="7" t="str">
        <f>PROPER(TRIM(Table4[[#This Row],[Patient Name]]))</f>
        <v>Haran Krishnan</v>
      </c>
      <c r="D290" s="6">
        <v>45</v>
      </c>
      <c r="E290" s="6" t="s">
        <v>772</v>
      </c>
      <c r="F290" s="6"/>
      <c r="G290" s="7" t="s">
        <v>69</v>
      </c>
      <c r="H290" s="8">
        <v>45056</v>
      </c>
      <c r="I290" s="7" t="s">
        <v>28</v>
      </c>
      <c r="J290" s="7" t="s">
        <v>29</v>
      </c>
      <c r="K290" s="7" t="s">
        <v>110</v>
      </c>
      <c r="L290" s="7" t="s">
        <v>61</v>
      </c>
      <c r="M290" s="9">
        <v>450</v>
      </c>
      <c r="N290" s="35">
        <v>280</v>
      </c>
    </row>
    <row r="291" spans="1:14" ht="18" customHeight="1" x14ac:dyDescent="0.35">
      <c r="A291" s="26" t="s">
        <v>667</v>
      </c>
      <c r="B291" s="3" t="s">
        <v>668</v>
      </c>
      <c r="C291" s="3" t="str">
        <f>PROPER(TRIM(Table4[[#This Row],[Patient Name]]))</f>
        <v>Ilavarsi Singh</v>
      </c>
      <c r="D291" s="2">
        <v>38</v>
      </c>
      <c r="E291" s="2" t="s">
        <v>772</v>
      </c>
      <c r="F291" s="2"/>
      <c r="G291" s="3" t="s">
        <v>35</v>
      </c>
      <c r="H291" s="4">
        <v>45454</v>
      </c>
      <c r="I291" s="3" t="s">
        <v>42</v>
      </c>
      <c r="J291" s="3" t="s">
        <v>89</v>
      </c>
      <c r="K291" s="3" t="s">
        <v>65</v>
      </c>
      <c r="L291" s="3" t="s">
        <v>119</v>
      </c>
      <c r="M291" s="5">
        <v>350</v>
      </c>
      <c r="N291" s="34">
        <v>180</v>
      </c>
    </row>
    <row r="292" spans="1:14" ht="18" customHeight="1" x14ac:dyDescent="0.35">
      <c r="A292" s="27" t="s">
        <v>669</v>
      </c>
      <c r="B292" s="7" t="s">
        <v>670</v>
      </c>
      <c r="C292" s="7" t="str">
        <f>PROPER(TRIM(Table4[[#This Row],[Patient Name]]))</f>
        <v>Jeeva Menon</v>
      </c>
      <c r="D292" s="6">
        <v>37</v>
      </c>
      <c r="E292" s="6" t="s">
        <v>772</v>
      </c>
      <c r="F292" s="6"/>
      <c r="G292" s="7" t="s">
        <v>16</v>
      </c>
      <c r="H292" s="8">
        <v>45387</v>
      </c>
      <c r="I292" s="7" t="s">
        <v>42</v>
      </c>
      <c r="J292" s="7" t="s">
        <v>70</v>
      </c>
      <c r="K292" s="7" t="s">
        <v>136</v>
      </c>
      <c r="L292" s="7" t="s">
        <v>72</v>
      </c>
      <c r="M292" s="9">
        <v>450</v>
      </c>
      <c r="N292" s="35">
        <v>270</v>
      </c>
    </row>
    <row r="293" spans="1:14" ht="18" customHeight="1" x14ac:dyDescent="0.35">
      <c r="A293" s="26" t="s">
        <v>671</v>
      </c>
      <c r="B293" s="3" t="s">
        <v>672</v>
      </c>
      <c r="C293" s="3" t="str">
        <f>PROPER(TRIM(Table4[[#This Row],[Patient Name]]))</f>
        <v>Kavi Singh</v>
      </c>
      <c r="D293" s="2">
        <v>28</v>
      </c>
      <c r="E293" s="2" t="s">
        <v>773</v>
      </c>
      <c r="F293" s="2"/>
      <c r="G293" s="3" t="s">
        <v>16</v>
      </c>
      <c r="H293" s="4">
        <v>45369</v>
      </c>
      <c r="I293" s="3" t="s">
        <v>48</v>
      </c>
      <c r="J293" s="3" t="s">
        <v>93</v>
      </c>
      <c r="K293" s="3" t="s">
        <v>55</v>
      </c>
      <c r="L293" s="3" t="s">
        <v>141</v>
      </c>
      <c r="M293" s="5">
        <v>750</v>
      </c>
      <c r="N293" s="34">
        <v>300</v>
      </c>
    </row>
    <row r="294" spans="1:14" ht="18" customHeight="1" x14ac:dyDescent="0.35">
      <c r="A294" s="27" t="s">
        <v>673</v>
      </c>
      <c r="B294" s="7" t="s">
        <v>674</v>
      </c>
      <c r="C294" s="7" t="str">
        <f>PROPER(TRIM(Table4[[#This Row],[Patient Name]]))</f>
        <v>Aarav Narayanan</v>
      </c>
      <c r="D294" s="6">
        <v>24</v>
      </c>
      <c r="E294" s="6" t="s">
        <v>773</v>
      </c>
      <c r="F294" s="6"/>
      <c r="G294" s="7" t="s">
        <v>35</v>
      </c>
      <c r="H294" s="8">
        <v>45435</v>
      </c>
      <c r="I294" s="7" t="s">
        <v>17</v>
      </c>
      <c r="J294" s="7" t="s">
        <v>18</v>
      </c>
      <c r="K294" s="7" t="s">
        <v>147</v>
      </c>
      <c r="L294" s="7" t="s">
        <v>20</v>
      </c>
      <c r="M294" s="9">
        <v>850</v>
      </c>
      <c r="N294" s="35">
        <v>700</v>
      </c>
    </row>
    <row r="295" spans="1:14" ht="18" customHeight="1" x14ac:dyDescent="0.35">
      <c r="A295" s="26" t="s">
        <v>675</v>
      </c>
      <c r="B295" s="3" t="s">
        <v>676</v>
      </c>
      <c r="C295" s="3" t="str">
        <f>PROPER(TRIM(Table4[[#This Row],[Patient Name]]))</f>
        <v>Bhavya Devi</v>
      </c>
      <c r="D295" s="2">
        <v>11</v>
      </c>
      <c r="E295" s="2" t="s">
        <v>772</v>
      </c>
      <c r="F295" s="2"/>
      <c r="G295" s="3" t="s">
        <v>35</v>
      </c>
      <c r="H295" s="4">
        <v>45642</v>
      </c>
      <c r="I295" s="3" t="s">
        <v>17</v>
      </c>
      <c r="J295" s="3" t="s">
        <v>23</v>
      </c>
      <c r="K295" s="3" t="s">
        <v>192</v>
      </c>
      <c r="L295" s="3" t="s">
        <v>66</v>
      </c>
      <c r="M295" s="5">
        <v>850</v>
      </c>
      <c r="N295" s="34">
        <v>330</v>
      </c>
    </row>
    <row r="296" spans="1:14" ht="18" customHeight="1" x14ac:dyDescent="0.35">
      <c r="A296" s="27" t="s">
        <v>677</v>
      </c>
      <c r="B296" s="7" t="s">
        <v>678</v>
      </c>
      <c r="C296" s="7" t="str">
        <f>PROPER(TRIM(Table4[[#This Row],[Patient Name]]))</f>
        <v>Chirag Raja</v>
      </c>
      <c r="D296" s="6">
        <v>32</v>
      </c>
      <c r="E296" s="6" t="s">
        <v>773</v>
      </c>
      <c r="F296" s="6"/>
      <c r="G296" s="7" t="s">
        <v>69</v>
      </c>
      <c r="H296" s="8">
        <v>45175</v>
      </c>
      <c r="I296" s="7" t="s">
        <v>42</v>
      </c>
      <c r="J296" s="7" t="s">
        <v>89</v>
      </c>
      <c r="K296" s="7" t="s">
        <v>85</v>
      </c>
      <c r="L296" s="7" t="s">
        <v>90</v>
      </c>
      <c r="M296" s="9">
        <v>300</v>
      </c>
      <c r="N296" s="35">
        <v>190</v>
      </c>
    </row>
    <row r="297" spans="1:14" ht="18" customHeight="1" x14ac:dyDescent="0.35">
      <c r="A297" s="26" t="s">
        <v>679</v>
      </c>
      <c r="B297" s="3" t="s">
        <v>680</v>
      </c>
      <c r="C297" s="3" t="str">
        <f>PROPER(TRIM(Table4[[#This Row],[Patient Name]]))</f>
        <v>Deepa Murugan</v>
      </c>
      <c r="D297" s="2">
        <v>55</v>
      </c>
      <c r="E297" s="2" t="s">
        <v>773</v>
      </c>
      <c r="F297" s="2"/>
      <c r="G297" s="3" t="s">
        <v>27</v>
      </c>
      <c r="H297" s="4">
        <v>45580</v>
      </c>
      <c r="I297" s="3" t="s">
        <v>28</v>
      </c>
      <c r="J297" s="3" t="s">
        <v>29</v>
      </c>
      <c r="K297" s="3" t="s">
        <v>174</v>
      </c>
      <c r="L297" s="3" t="s">
        <v>298</v>
      </c>
      <c r="M297" s="5">
        <v>500</v>
      </c>
      <c r="N297" s="34">
        <v>110</v>
      </c>
    </row>
    <row r="298" spans="1:14" ht="18" customHeight="1" x14ac:dyDescent="0.35">
      <c r="A298" s="27" t="s">
        <v>681</v>
      </c>
      <c r="B298" s="7" t="s">
        <v>682</v>
      </c>
      <c r="C298" s="7" t="str">
        <f>PROPER(TRIM(Table4[[#This Row],[Patient Name]]))</f>
        <v>Elan Iyer</v>
      </c>
      <c r="D298" s="6">
        <v>28</v>
      </c>
      <c r="E298" s="6" t="s">
        <v>772</v>
      </c>
      <c r="F298" s="6"/>
      <c r="G298" s="7" t="s">
        <v>16</v>
      </c>
      <c r="H298" s="8">
        <v>45614</v>
      </c>
      <c r="I298" s="7" t="s">
        <v>36</v>
      </c>
      <c r="J298" s="7" t="s">
        <v>37</v>
      </c>
      <c r="K298" s="7" t="s">
        <v>104</v>
      </c>
      <c r="L298" s="7" t="s">
        <v>39</v>
      </c>
      <c r="M298" s="9">
        <v>650</v>
      </c>
      <c r="N298" s="35">
        <v>420</v>
      </c>
    </row>
    <row r="299" spans="1:14" ht="18" customHeight="1" x14ac:dyDescent="0.35">
      <c r="A299" s="26" t="s">
        <v>683</v>
      </c>
      <c r="B299" s="3" t="s">
        <v>684</v>
      </c>
      <c r="C299" s="3" t="str">
        <f>PROPER(TRIM(Table4[[#This Row],[Patient Name]]))</f>
        <v>Fatima Chandran</v>
      </c>
      <c r="D299" s="2">
        <v>11</v>
      </c>
      <c r="E299" s="2" t="s">
        <v>773</v>
      </c>
      <c r="F299" s="2"/>
      <c r="G299" s="3" t="s">
        <v>69</v>
      </c>
      <c r="H299" s="4">
        <v>45588</v>
      </c>
      <c r="I299" s="3" t="s">
        <v>48</v>
      </c>
      <c r="J299" s="3" t="s">
        <v>93</v>
      </c>
      <c r="K299" s="3" t="s">
        <v>151</v>
      </c>
      <c r="L299" s="3" t="s">
        <v>51</v>
      </c>
      <c r="M299" s="5">
        <v>750</v>
      </c>
      <c r="N299" s="34">
        <v>430</v>
      </c>
    </row>
    <row r="300" spans="1:14" ht="18" customHeight="1" x14ac:dyDescent="0.35">
      <c r="A300" s="27" t="s">
        <v>685</v>
      </c>
      <c r="B300" s="7" t="s">
        <v>686</v>
      </c>
      <c r="C300" s="7" t="str">
        <f>PROPER(TRIM(Table4[[#This Row],[Patient Name]]))</f>
        <v>Ganesh Devi</v>
      </c>
      <c r="D300" s="6">
        <v>15</v>
      </c>
      <c r="E300" s="6" t="s">
        <v>773</v>
      </c>
      <c r="F300" s="6"/>
      <c r="G300" s="7" t="s">
        <v>35</v>
      </c>
      <c r="H300" s="8">
        <v>45248</v>
      </c>
      <c r="I300" s="7" t="s">
        <v>28</v>
      </c>
      <c r="J300" s="7" t="s">
        <v>122</v>
      </c>
      <c r="K300" s="7" t="s">
        <v>30</v>
      </c>
      <c r="L300" s="7" t="s">
        <v>31</v>
      </c>
      <c r="M300" s="9">
        <v>450</v>
      </c>
      <c r="N300" s="35">
        <v>120</v>
      </c>
    </row>
    <row r="301" spans="1:14" ht="18" customHeight="1" x14ac:dyDescent="0.35">
      <c r="A301" s="26" t="s">
        <v>687</v>
      </c>
      <c r="B301" s="3" t="s">
        <v>688</v>
      </c>
      <c r="C301" s="3" t="str">
        <f>PROPER(TRIM(Table4[[#This Row],[Patient Name]]))</f>
        <v>Heena Selvam</v>
      </c>
      <c r="D301" s="2">
        <v>39</v>
      </c>
      <c r="E301" s="2" t="s">
        <v>773</v>
      </c>
      <c r="F301" s="2"/>
      <c r="G301" s="3" t="s">
        <v>27</v>
      </c>
      <c r="H301" s="4">
        <v>45327</v>
      </c>
      <c r="I301" s="3" t="s">
        <v>17</v>
      </c>
      <c r="J301" s="3" t="s">
        <v>23</v>
      </c>
      <c r="K301" s="3" t="s">
        <v>154</v>
      </c>
      <c r="L301" s="3" t="s">
        <v>66</v>
      </c>
      <c r="M301" s="5">
        <v>700</v>
      </c>
      <c r="N301" s="34">
        <v>420</v>
      </c>
    </row>
    <row r="302" spans="1:14" ht="18" customHeight="1" x14ac:dyDescent="0.35">
      <c r="A302" s="27" t="s">
        <v>689</v>
      </c>
      <c r="B302" s="7" t="s">
        <v>690</v>
      </c>
      <c r="C302" s="7" t="str">
        <f>PROPER(TRIM(Table4[[#This Row],[Patient Name]]))</f>
        <v>Ishaan Chandran</v>
      </c>
      <c r="D302" s="6">
        <v>25</v>
      </c>
      <c r="E302" s="6" t="s">
        <v>773</v>
      </c>
      <c r="F302" s="6"/>
      <c r="G302" s="7" t="s">
        <v>27</v>
      </c>
      <c r="H302" s="8">
        <v>45470</v>
      </c>
      <c r="I302" s="7" t="s">
        <v>36</v>
      </c>
      <c r="J302" s="7" t="s">
        <v>81</v>
      </c>
      <c r="K302" s="7" t="s">
        <v>38</v>
      </c>
      <c r="L302" s="7" t="s">
        <v>189</v>
      </c>
      <c r="M302" s="9">
        <v>800</v>
      </c>
      <c r="N302" s="35">
        <v>560</v>
      </c>
    </row>
    <row r="303" spans="1:14" ht="18" customHeight="1" x14ac:dyDescent="0.35">
      <c r="A303" s="26" t="s">
        <v>691</v>
      </c>
      <c r="B303" s="3" t="s">
        <v>692</v>
      </c>
      <c r="C303" s="3" t="str">
        <f>PROPER(TRIM(Table4[[#This Row],[Patient Name]]))</f>
        <v>Jasmine Mani</v>
      </c>
      <c r="D303" s="2">
        <v>71</v>
      </c>
      <c r="E303" s="2" t="s">
        <v>773</v>
      </c>
      <c r="F303" s="2"/>
      <c r="G303" s="3" t="s">
        <v>107</v>
      </c>
      <c r="H303" s="4">
        <v>45072</v>
      </c>
      <c r="I303" s="3" t="s">
        <v>42</v>
      </c>
      <c r="J303" s="3" t="s">
        <v>89</v>
      </c>
      <c r="K303" s="3" t="s">
        <v>110</v>
      </c>
      <c r="L303" s="3" t="s">
        <v>129</v>
      </c>
      <c r="M303" s="5">
        <v>450</v>
      </c>
      <c r="N303" s="34">
        <v>280</v>
      </c>
    </row>
    <row r="304" spans="1:14" ht="18" customHeight="1" x14ac:dyDescent="0.35">
      <c r="A304" s="27" t="s">
        <v>693</v>
      </c>
      <c r="B304" s="7" t="s">
        <v>694</v>
      </c>
      <c r="C304" s="7" t="str">
        <f>PROPER(TRIM(Table4[[#This Row],[Patient Name]]))</f>
        <v>Karthik Iyer</v>
      </c>
      <c r="D304" s="6">
        <v>73</v>
      </c>
      <c r="E304" s="6" t="s">
        <v>772</v>
      </c>
      <c r="F304" s="6"/>
      <c r="G304" s="7" t="s">
        <v>35</v>
      </c>
      <c r="H304" s="8">
        <v>45470</v>
      </c>
      <c r="I304" s="7" t="s">
        <v>28</v>
      </c>
      <c r="J304" s="7" t="s">
        <v>29</v>
      </c>
      <c r="K304" s="7" t="s">
        <v>123</v>
      </c>
      <c r="L304" s="7" t="s">
        <v>111</v>
      </c>
      <c r="M304" s="9">
        <v>400</v>
      </c>
      <c r="N304" s="35">
        <v>290</v>
      </c>
    </row>
    <row r="305" spans="1:14" ht="18" customHeight="1" x14ac:dyDescent="0.35">
      <c r="A305" s="26" t="s">
        <v>695</v>
      </c>
      <c r="B305" s="3" t="s">
        <v>696</v>
      </c>
      <c r="C305" s="3" t="str">
        <f>PROPER(TRIM(Table4[[#This Row],[Patient Name]]))</f>
        <v>Lavanya Reddy</v>
      </c>
      <c r="D305" s="2">
        <v>17</v>
      </c>
      <c r="E305" s="2" t="s">
        <v>772</v>
      </c>
      <c r="F305" s="2"/>
      <c r="G305" s="3" t="s">
        <v>16</v>
      </c>
      <c r="H305" s="4">
        <v>45209</v>
      </c>
      <c r="I305" s="3" t="s">
        <v>48</v>
      </c>
      <c r="J305" s="3" t="s">
        <v>54</v>
      </c>
      <c r="K305" s="3" t="s">
        <v>50</v>
      </c>
      <c r="L305" s="3" t="s">
        <v>114</v>
      </c>
      <c r="M305" s="5">
        <v>750</v>
      </c>
      <c r="N305" s="34">
        <v>310</v>
      </c>
    </row>
    <row r="306" spans="1:14" ht="18" customHeight="1" x14ac:dyDescent="0.35">
      <c r="A306" s="27" t="s">
        <v>697</v>
      </c>
      <c r="B306" s="7" t="s">
        <v>698</v>
      </c>
      <c r="C306" s="7" t="str">
        <f>PROPER(TRIM(Table4[[#This Row],[Patient Name]]))</f>
        <v>Mohan Balan</v>
      </c>
      <c r="D306" s="6">
        <v>59</v>
      </c>
      <c r="E306" s="6" t="s">
        <v>773</v>
      </c>
      <c r="F306" s="6"/>
      <c r="G306" s="7" t="s">
        <v>35</v>
      </c>
      <c r="H306" s="8">
        <v>45539</v>
      </c>
      <c r="I306" s="7" t="s">
        <v>28</v>
      </c>
      <c r="J306" s="7" t="s">
        <v>29</v>
      </c>
      <c r="K306" s="7" t="s">
        <v>60</v>
      </c>
      <c r="L306" s="7" t="s">
        <v>31</v>
      </c>
      <c r="M306" s="9">
        <v>600</v>
      </c>
      <c r="N306" s="35">
        <v>240</v>
      </c>
    </row>
    <row r="307" spans="1:14" ht="18" customHeight="1" x14ac:dyDescent="0.35">
      <c r="A307" s="26" t="s">
        <v>699</v>
      </c>
      <c r="B307" s="3" t="s">
        <v>700</v>
      </c>
      <c r="C307" s="3" t="str">
        <f>PROPER(TRIM(Table4[[#This Row],[Patient Name]]))</f>
        <v>Nisha Rao</v>
      </c>
      <c r="D307" s="2">
        <v>23</v>
      </c>
      <c r="E307" s="2" t="s">
        <v>773</v>
      </c>
      <c r="F307" s="2"/>
      <c r="G307" s="3" t="s">
        <v>69</v>
      </c>
      <c r="H307" s="4">
        <v>45480</v>
      </c>
      <c r="I307" s="3" t="s">
        <v>28</v>
      </c>
      <c r="J307" s="3" t="s">
        <v>29</v>
      </c>
      <c r="K307" s="3" t="s">
        <v>123</v>
      </c>
      <c r="L307" s="3" t="s">
        <v>111</v>
      </c>
      <c r="M307" s="5">
        <v>700</v>
      </c>
      <c r="N307" s="34">
        <v>200</v>
      </c>
    </row>
    <row r="308" spans="1:14" ht="18" customHeight="1" x14ac:dyDescent="0.35">
      <c r="A308" s="27" t="s">
        <v>701</v>
      </c>
      <c r="B308" s="7" t="s">
        <v>702</v>
      </c>
      <c r="C308" s="7" t="str">
        <f>PROPER(TRIM(Table4[[#This Row],[Patient Name]]))</f>
        <v>Omkar Narayanan</v>
      </c>
      <c r="D308" s="6">
        <v>41</v>
      </c>
      <c r="E308" s="6" t="s">
        <v>772</v>
      </c>
      <c r="F308" s="6"/>
      <c r="G308" s="7" t="s">
        <v>35</v>
      </c>
      <c r="H308" s="8">
        <v>45553</v>
      </c>
      <c r="I308" s="7" t="s">
        <v>48</v>
      </c>
      <c r="J308" s="7" t="s">
        <v>93</v>
      </c>
      <c r="K308" s="7" t="s">
        <v>50</v>
      </c>
      <c r="L308" s="7" t="s">
        <v>114</v>
      </c>
      <c r="M308" s="9">
        <v>750</v>
      </c>
      <c r="N308" s="35">
        <v>230</v>
      </c>
    </row>
    <row r="309" spans="1:14" ht="18" customHeight="1" x14ac:dyDescent="0.35">
      <c r="A309" s="26" t="s">
        <v>703</v>
      </c>
      <c r="B309" s="3" t="s">
        <v>704</v>
      </c>
      <c r="C309" s="3" t="str">
        <f>PROPER(TRIM(Table4[[#This Row],[Patient Name]]))</f>
        <v>Preethi Rajan</v>
      </c>
      <c r="D309" s="2">
        <v>32</v>
      </c>
      <c r="E309" s="2" t="s">
        <v>773</v>
      </c>
      <c r="F309" s="2"/>
      <c r="G309" s="3" t="s">
        <v>16</v>
      </c>
      <c r="H309" s="4">
        <v>44928</v>
      </c>
      <c r="I309" s="3" t="s">
        <v>28</v>
      </c>
      <c r="J309" s="3" t="s">
        <v>122</v>
      </c>
      <c r="K309" s="3" t="s">
        <v>174</v>
      </c>
      <c r="L309" s="3" t="s">
        <v>371</v>
      </c>
      <c r="M309" s="5">
        <v>600</v>
      </c>
      <c r="N309" s="34">
        <v>280</v>
      </c>
    </row>
    <row r="310" spans="1:14" ht="18" customHeight="1" x14ac:dyDescent="0.35">
      <c r="A310" s="27" t="s">
        <v>705</v>
      </c>
      <c r="B310" s="7" t="s">
        <v>706</v>
      </c>
      <c r="C310" s="7" t="str">
        <f>PROPER(TRIM(Table4[[#This Row],[Patient Name]]))</f>
        <v>Qasim Kumar</v>
      </c>
      <c r="D310" s="6">
        <v>66</v>
      </c>
      <c r="E310" s="6" t="s">
        <v>772</v>
      </c>
      <c r="F310" s="6"/>
      <c r="G310" s="7" t="s">
        <v>69</v>
      </c>
      <c r="H310" s="8">
        <v>45317</v>
      </c>
      <c r="I310" s="7" t="s">
        <v>36</v>
      </c>
      <c r="J310" s="7" t="s">
        <v>37</v>
      </c>
      <c r="K310" s="7" t="s">
        <v>38</v>
      </c>
      <c r="L310" s="7" t="s">
        <v>133</v>
      </c>
      <c r="M310" s="9">
        <v>650</v>
      </c>
      <c r="N310" s="35">
        <v>330</v>
      </c>
    </row>
    <row r="311" spans="1:14" ht="18" customHeight="1" x14ac:dyDescent="0.35">
      <c r="A311" s="26" t="s">
        <v>707</v>
      </c>
      <c r="B311" s="3" t="s">
        <v>708</v>
      </c>
      <c r="C311" s="3" t="str">
        <f>PROPER(TRIM(Table4[[#This Row],[Patient Name]]))</f>
        <v>Rekha Nair</v>
      </c>
      <c r="D311" s="2">
        <v>32</v>
      </c>
      <c r="E311" s="2" t="s">
        <v>772</v>
      </c>
      <c r="F311" s="2"/>
      <c r="G311" s="3" t="s">
        <v>16</v>
      </c>
      <c r="H311" s="4">
        <v>44988</v>
      </c>
      <c r="I311" s="3" t="s">
        <v>17</v>
      </c>
      <c r="J311" s="3" t="s">
        <v>23</v>
      </c>
      <c r="K311" s="3" t="s">
        <v>147</v>
      </c>
      <c r="L311" s="3" t="s">
        <v>24</v>
      </c>
      <c r="M311" s="5">
        <v>1150</v>
      </c>
      <c r="N311" s="34">
        <v>630</v>
      </c>
    </row>
    <row r="312" spans="1:14" ht="18" customHeight="1" x14ac:dyDescent="0.35">
      <c r="A312" s="27" t="s">
        <v>709</v>
      </c>
      <c r="B312" s="7" t="s">
        <v>710</v>
      </c>
      <c r="C312" s="7" t="str">
        <f>PROPER(TRIM(Table4[[#This Row],[Patient Name]]))</f>
        <v>Sanjay Patel</v>
      </c>
      <c r="D312" s="6">
        <v>13</v>
      </c>
      <c r="E312" s="6" t="s">
        <v>772</v>
      </c>
      <c r="F312" s="6"/>
      <c r="G312" s="7" t="s">
        <v>35</v>
      </c>
      <c r="H312" s="8">
        <v>45162</v>
      </c>
      <c r="I312" s="7" t="s">
        <v>28</v>
      </c>
      <c r="J312" s="7" t="s">
        <v>122</v>
      </c>
      <c r="K312" s="7" t="s">
        <v>110</v>
      </c>
      <c r="L312" s="7" t="s">
        <v>111</v>
      </c>
      <c r="M312" s="9">
        <v>500</v>
      </c>
      <c r="N312" s="35">
        <v>220</v>
      </c>
    </row>
    <row r="313" spans="1:14" ht="18" customHeight="1" x14ac:dyDescent="0.35">
      <c r="A313" s="26" t="s">
        <v>711</v>
      </c>
      <c r="B313" s="3" t="s">
        <v>712</v>
      </c>
      <c r="C313" s="3" t="str">
        <f>PROPER(TRIM(Table4[[#This Row],[Patient Name]]))</f>
        <v>Tanya Chandran</v>
      </c>
      <c r="D313" s="2">
        <v>56</v>
      </c>
      <c r="E313" s="2" t="s">
        <v>773</v>
      </c>
      <c r="F313" s="2"/>
      <c r="G313" s="3" t="s">
        <v>16</v>
      </c>
      <c r="H313" s="4">
        <v>45334</v>
      </c>
      <c r="I313" s="3" t="s">
        <v>48</v>
      </c>
      <c r="J313" s="3" t="s">
        <v>93</v>
      </c>
      <c r="K313" s="3" t="s">
        <v>55</v>
      </c>
      <c r="L313" s="3" t="s">
        <v>95</v>
      </c>
      <c r="M313" s="5">
        <v>900</v>
      </c>
      <c r="N313" s="34">
        <v>440</v>
      </c>
    </row>
    <row r="314" spans="1:14" ht="18" customHeight="1" x14ac:dyDescent="0.35">
      <c r="A314" s="27" t="s">
        <v>713</v>
      </c>
      <c r="B314" s="7" t="s">
        <v>714</v>
      </c>
      <c r="C314" s="7" t="str">
        <f>PROPER(TRIM(Table4[[#This Row],[Patient Name]]))</f>
        <v>Uday Reddy</v>
      </c>
      <c r="D314" s="6">
        <v>32</v>
      </c>
      <c r="E314" s="6" t="s">
        <v>773</v>
      </c>
      <c r="F314" s="6"/>
      <c r="G314" s="7" t="s">
        <v>27</v>
      </c>
      <c r="H314" s="8">
        <v>45358</v>
      </c>
      <c r="I314" s="7" t="s">
        <v>17</v>
      </c>
      <c r="J314" s="7" t="s">
        <v>23</v>
      </c>
      <c r="K314" s="7" t="s">
        <v>192</v>
      </c>
      <c r="L314" s="7" t="s">
        <v>148</v>
      </c>
      <c r="M314" s="9">
        <v>1000</v>
      </c>
      <c r="N314" s="35">
        <v>800</v>
      </c>
    </row>
    <row r="315" spans="1:14" ht="18" customHeight="1" x14ac:dyDescent="0.35">
      <c r="A315" s="26" t="s">
        <v>715</v>
      </c>
      <c r="B315" s="3" t="s">
        <v>716</v>
      </c>
      <c r="C315" s="3" t="str">
        <f>PROPER(TRIM(Table4[[#This Row],[Patient Name]]))</f>
        <v>Vimala Patel</v>
      </c>
      <c r="D315" s="2">
        <v>40</v>
      </c>
      <c r="E315" s="2" t="s">
        <v>772</v>
      </c>
      <c r="F315" s="2"/>
      <c r="G315" s="3" t="s">
        <v>16</v>
      </c>
      <c r="H315" s="4">
        <v>45647</v>
      </c>
      <c r="I315" s="3" t="s">
        <v>36</v>
      </c>
      <c r="J315" s="3" t="s">
        <v>37</v>
      </c>
      <c r="K315" s="3" t="s">
        <v>76</v>
      </c>
      <c r="L315" s="3" t="s">
        <v>133</v>
      </c>
      <c r="M315" s="5">
        <v>1000</v>
      </c>
      <c r="N315" s="34">
        <v>250</v>
      </c>
    </row>
    <row r="316" spans="1:14" ht="18" customHeight="1" x14ac:dyDescent="0.35">
      <c r="A316" s="27" t="s">
        <v>717</v>
      </c>
      <c r="B316" s="7" t="s">
        <v>718</v>
      </c>
      <c r="C316" s="7" t="str">
        <f>PROPER(TRIM(Table4[[#This Row],[Patient Name]]))</f>
        <v>Wasim Selvam</v>
      </c>
      <c r="D316" s="6">
        <v>37</v>
      </c>
      <c r="E316" s="6" t="s">
        <v>772</v>
      </c>
      <c r="F316" s="6"/>
      <c r="G316" s="7" t="s">
        <v>16</v>
      </c>
      <c r="H316" s="8">
        <v>45182</v>
      </c>
      <c r="I316" s="7" t="s">
        <v>17</v>
      </c>
      <c r="J316" s="7" t="s">
        <v>18</v>
      </c>
      <c r="K316" s="7" t="s">
        <v>19</v>
      </c>
      <c r="L316" s="7" t="s">
        <v>148</v>
      </c>
      <c r="M316" s="9">
        <v>1000</v>
      </c>
      <c r="N316" s="35">
        <v>340</v>
      </c>
    </row>
    <row r="317" spans="1:14" ht="18" customHeight="1" x14ac:dyDescent="0.35">
      <c r="A317" s="26" t="s">
        <v>719</v>
      </c>
      <c r="B317" s="3" t="s">
        <v>720</v>
      </c>
      <c r="C317" s="3" t="str">
        <f>PROPER(TRIM(Table4[[#This Row],[Patient Name]]))</f>
        <v>Xena Vel</v>
      </c>
      <c r="D317" s="2">
        <v>20</v>
      </c>
      <c r="E317" s="2" t="s">
        <v>772</v>
      </c>
      <c r="F317" s="2"/>
      <c r="G317" s="3" t="s">
        <v>35</v>
      </c>
      <c r="H317" s="4">
        <v>45211</v>
      </c>
      <c r="I317" s="3" t="s">
        <v>48</v>
      </c>
      <c r="J317" s="3" t="s">
        <v>93</v>
      </c>
      <c r="K317" s="3" t="s">
        <v>151</v>
      </c>
      <c r="L317" s="3" t="s">
        <v>141</v>
      </c>
      <c r="M317" s="5">
        <v>500</v>
      </c>
      <c r="N317" s="34">
        <v>410</v>
      </c>
    </row>
    <row r="318" spans="1:14" ht="18" customHeight="1" x14ac:dyDescent="0.35">
      <c r="A318" s="27" t="s">
        <v>721</v>
      </c>
      <c r="B318" s="7" t="s">
        <v>722</v>
      </c>
      <c r="C318" s="7" t="str">
        <f>PROPER(TRIM(Table4[[#This Row],[Patient Name]]))</f>
        <v>Yogesh Kumar</v>
      </c>
      <c r="D318" s="6">
        <v>30</v>
      </c>
      <c r="E318" s="6" t="s">
        <v>773</v>
      </c>
      <c r="F318" s="6"/>
      <c r="G318" s="7" t="s">
        <v>16</v>
      </c>
      <c r="H318" s="8">
        <v>45009</v>
      </c>
      <c r="I318" s="7" t="s">
        <v>17</v>
      </c>
      <c r="J318" s="7" t="s">
        <v>23</v>
      </c>
      <c r="K318" s="7" t="s">
        <v>192</v>
      </c>
      <c r="L318" s="7" t="s">
        <v>20</v>
      </c>
      <c r="M318" s="9">
        <v>750</v>
      </c>
      <c r="N318" s="35">
        <v>760</v>
      </c>
    </row>
    <row r="319" spans="1:14" ht="18" customHeight="1" x14ac:dyDescent="0.35">
      <c r="A319" s="26" t="s">
        <v>723</v>
      </c>
      <c r="B319" s="3" t="s">
        <v>724</v>
      </c>
      <c r="C319" s="3" t="str">
        <f>PROPER(TRIM(Table4[[#This Row],[Patient Name]]))</f>
        <v>Zara Devi</v>
      </c>
      <c r="D319" s="2">
        <v>40</v>
      </c>
      <c r="E319" s="2" t="s">
        <v>773</v>
      </c>
      <c r="F319" s="2"/>
      <c r="G319" s="3" t="s">
        <v>16</v>
      </c>
      <c r="H319" s="4">
        <v>45470</v>
      </c>
      <c r="I319" s="3" t="s">
        <v>42</v>
      </c>
      <c r="J319" s="3" t="s">
        <v>89</v>
      </c>
      <c r="K319" s="3" t="s">
        <v>71</v>
      </c>
      <c r="L319" s="3" t="s">
        <v>72</v>
      </c>
      <c r="M319" s="5">
        <v>350</v>
      </c>
      <c r="N319" s="34">
        <v>110</v>
      </c>
    </row>
    <row r="320" spans="1:14" ht="18" customHeight="1" x14ac:dyDescent="0.35">
      <c r="A320" s="27" t="s">
        <v>725</v>
      </c>
      <c r="B320" s="7" t="s">
        <v>726</v>
      </c>
      <c r="C320" s="7" t="str">
        <f>PROPER(TRIM(Table4[[#This Row],[Patient Name]]))</f>
        <v>Arjun Mani</v>
      </c>
      <c r="D320" s="6">
        <v>4</v>
      </c>
      <c r="E320" s="6" t="s">
        <v>773</v>
      </c>
      <c r="F320" s="6"/>
      <c r="G320" s="7" t="s">
        <v>107</v>
      </c>
      <c r="H320" s="8">
        <v>44977</v>
      </c>
      <c r="I320" s="7" t="s">
        <v>48</v>
      </c>
      <c r="J320" s="7" t="s">
        <v>54</v>
      </c>
      <c r="K320" s="7" t="s">
        <v>151</v>
      </c>
      <c r="L320" s="7" t="s">
        <v>141</v>
      </c>
      <c r="M320" s="9">
        <v>650</v>
      </c>
      <c r="N320" s="35">
        <v>220</v>
      </c>
    </row>
    <row r="321" spans="1:14" ht="18" customHeight="1" x14ac:dyDescent="0.35">
      <c r="A321" s="26" t="s">
        <v>727</v>
      </c>
      <c r="B321" s="3" t="s">
        <v>728</v>
      </c>
      <c r="C321" s="3" t="str">
        <f>PROPER(TRIM(Table4[[#This Row],[Patient Name]]))</f>
        <v>Bhanu Balan</v>
      </c>
      <c r="D321" s="2">
        <v>17</v>
      </c>
      <c r="E321" s="2" t="s">
        <v>772</v>
      </c>
      <c r="F321" s="2"/>
      <c r="G321" s="3" t="s">
        <v>35</v>
      </c>
      <c r="H321" s="4">
        <v>45418</v>
      </c>
      <c r="I321" s="3" t="s">
        <v>17</v>
      </c>
      <c r="J321" s="3" t="s">
        <v>64</v>
      </c>
      <c r="K321" s="3" t="s">
        <v>154</v>
      </c>
      <c r="L321" s="3" t="s">
        <v>20</v>
      </c>
      <c r="M321" s="5">
        <v>1000</v>
      </c>
      <c r="N321" s="34">
        <v>320</v>
      </c>
    </row>
    <row r="322" spans="1:14" ht="18" customHeight="1" x14ac:dyDescent="0.35">
      <c r="A322" s="29" t="s">
        <v>729</v>
      </c>
      <c r="B322" s="30" t="s">
        <v>342</v>
      </c>
      <c r="C322" s="30" t="str">
        <f>PROPER(TRIM(Table4[[#This Row],[Patient Name]]))</f>
        <v>Chitra Singh</v>
      </c>
      <c r="D322" s="31">
        <v>80</v>
      </c>
      <c r="E322" s="31" t="s">
        <v>773</v>
      </c>
      <c r="F322" s="31"/>
      <c r="G322" s="30" t="s">
        <v>80</v>
      </c>
      <c r="H322" s="32">
        <v>45430</v>
      </c>
      <c r="I322" s="30" t="s">
        <v>48</v>
      </c>
      <c r="J322" s="30" t="s">
        <v>54</v>
      </c>
      <c r="K322" s="30" t="s">
        <v>50</v>
      </c>
      <c r="L322" s="30" t="s">
        <v>51</v>
      </c>
      <c r="M322" s="33">
        <v>700</v>
      </c>
      <c r="N322" s="39">
        <v>190</v>
      </c>
    </row>
  </sheetData>
  <mergeCells count="1">
    <mergeCell ref="A1:N1"/>
  </mergeCells>
  <pageMargins left="0.75" right="0.75" top="1" bottom="1"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45751-F388-4A9C-9FD0-3F096DD430F8}">
  <dimension ref="A1:AU322"/>
  <sheetViews>
    <sheetView zoomScale="85" zoomScaleNormal="85" workbookViewId="0">
      <pane ySplit="2" topLeftCell="A3" activePane="bottomLeft" state="frozen"/>
      <selection pane="bottomLeft" activeCell="E10" sqref="E10"/>
    </sheetView>
  </sheetViews>
  <sheetFormatPr defaultColWidth="8.6328125" defaultRowHeight="14.5" x14ac:dyDescent="0.35"/>
  <cols>
    <col min="1" max="1" width="55" customWidth="1"/>
    <col min="2" max="2" width="24" hidden="1" customWidth="1"/>
    <col min="3" max="3" width="24" customWidth="1"/>
    <col min="4" max="5" width="12.6328125" customWidth="1"/>
    <col min="6" max="7" width="14" customWidth="1"/>
    <col min="8" max="8" width="18" customWidth="1"/>
    <col min="9" max="9" width="22" customWidth="1"/>
    <col min="10" max="10" width="18" customWidth="1"/>
    <col min="11" max="11" width="22" customWidth="1"/>
    <col min="12" max="12" width="18" customWidth="1"/>
    <col min="13" max="13" width="16" customWidth="1"/>
  </cols>
  <sheetData>
    <row r="1" spans="1:13" ht="30" customHeight="1" x14ac:dyDescent="0.35">
      <c r="A1" s="28" t="s">
        <v>0</v>
      </c>
      <c r="B1" s="28" t="s">
        <v>776</v>
      </c>
      <c r="C1" s="28" t="s">
        <v>789</v>
      </c>
      <c r="D1" s="28" t="s">
        <v>777</v>
      </c>
      <c r="E1" s="28" t="s">
        <v>778</v>
      </c>
      <c r="F1" s="28" t="s">
        <v>779</v>
      </c>
      <c r="G1" s="28" t="s">
        <v>780</v>
      </c>
      <c r="H1" s="28" t="s">
        <v>781</v>
      </c>
      <c r="I1" s="28" t="s">
        <v>782</v>
      </c>
      <c r="J1" s="28" t="s">
        <v>783</v>
      </c>
      <c r="K1" s="28" t="s">
        <v>784</v>
      </c>
      <c r="L1" s="28" t="s">
        <v>785</v>
      </c>
      <c r="M1" s="28" t="s">
        <v>786</v>
      </c>
    </row>
    <row r="2" spans="1:13" ht="21.75" customHeight="1" x14ac:dyDescent="0.35">
      <c r="A2" s="25" t="s">
        <v>1</v>
      </c>
      <c r="B2" s="1" t="s">
        <v>2</v>
      </c>
      <c r="C2" s="1" t="s">
        <v>790</v>
      </c>
      <c r="D2" s="1" t="s">
        <v>3</v>
      </c>
      <c r="E2" s="1" t="s">
        <v>4</v>
      </c>
      <c r="F2" s="1" t="s">
        <v>5</v>
      </c>
      <c r="G2" s="1" t="s">
        <v>6</v>
      </c>
      <c r="H2" s="1" t="s">
        <v>7</v>
      </c>
      <c r="I2" s="1" t="s">
        <v>8</v>
      </c>
      <c r="J2" s="1" t="s">
        <v>9</v>
      </c>
      <c r="K2" s="1" t="s">
        <v>10</v>
      </c>
      <c r="L2" s="1" t="s">
        <v>11</v>
      </c>
      <c r="M2" s="1" t="s">
        <v>12</v>
      </c>
    </row>
    <row r="3" spans="1:13" ht="18" customHeight="1" x14ac:dyDescent="0.35">
      <c r="A3" s="26" t="s">
        <v>13</v>
      </c>
      <c r="B3" s="3" t="s">
        <v>14</v>
      </c>
      <c r="C3" s="3" t="str">
        <f>PROPER(TRIM(Table3[[#This Row],[Column1]]))</f>
        <v>Aarav Murugan</v>
      </c>
      <c r="D3" s="2">
        <v>56</v>
      </c>
      <c r="E3" s="2" t="s">
        <v>787</v>
      </c>
      <c r="F3" s="3" t="s">
        <v>16</v>
      </c>
      <c r="G3" s="4">
        <v>45567</v>
      </c>
      <c r="H3" s="3" t="s">
        <v>17</v>
      </c>
      <c r="I3" s="3" t="s">
        <v>18</v>
      </c>
      <c r="J3" s="3" t="s">
        <v>19</v>
      </c>
      <c r="K3" s="3" t="s">
        <v>20</v>
      </c>
      <c r="L3" s="5">
        <v>800</v>
      </c>
      <c r="M3" s="5">
        <v>870</v>
      </c>
    </row>
    <row r="4" spans="1:13" ht="18" customHeight="1" x14ac:dyDescent="0.35">
      <c r="A4" s="27" t="s">
        <v>21</v>
      </c>
      <c r="B4" s="7" t="s">
        <v>22</v>
      </c>
      <c r="C4" s="3" t="str">
        <f>PROPER(TRIM(Table3[[#This Row],[Column1]]))</f>
        <v>Bhavya Murugan</v>
      </c>
      <c r="D4" s="6">
        <v>11</v>
      </c>
      <c r="E4" s="6" t="s">
        <v>788</v>
      </c>
      <c r="F4" s="7" t="s">
        <v>16</v>
      </c>
      <c r="G4" s="8">
        <v>45386</v>
      </c>
      <c r="H4" s="7" t="s">
        <v>17</v>
      </c>
      <c r="I4" s="7" t="s">
        <v>23</v>
      </c>
      <c r="J4" s="7" t="s">
        <v>19</v>
      </c>
      <c r="K4" s="7" t="s">
        <v>24</v>
      </c>
      <c r="L4" s="9">
        <v>750</v>
      </c>
      <c r="M4" s="9">
        <v>870</v>
      </c>
    </row>
    <row r="5" spans="1:13" ht="18" customHeight="1" x14ac:dyDescent="0.35">
      <c r="A5" s="26" t="s">
        <v>25</v>
      </c>
      <c r="B5" s="3" t="s">
        <v>26</v>
      </c>
      <c r="C5" s="3" t="str">
        <f>PROPER(TRIM(Table3[[#This Row],[Column1]]))</f>
        <v>Chirag Menon</v>
      </c>
      <c r="D5" s="2">
        <v>26</v>
      </c>
      <c r="E5" s="2" t="s">
        <v>788</v>
      </c>
      <c r="F5" s="3" t="s">
        <v>27</v>
      </c>
      <c r="G5" s="4">
        <v>45538</v>
      </c>
      <c r="H5" s="3" t="s">
        <v>28</v>
      </c>
      <c r="I5" s="3" t="s">
        <v>29</v>
      </c>
      <c r="J5" s="3" t="s">
        <v>30</v>
      </c>
      <c r="K5" s="3" t="s">
        <v>31</v>
      </c>
      <c r="L5" s="5">
        <v>500</v>
      </c>
      <c r="M5" s="5">
        <v>220</v>
      </c>
    </row>
    <row r="6" spans="1:13" ht="18" customHeight="1" x14ac:dyDescent="0.35">
      <c r="A6" s="27" t="s">
        <v>32</v>
      </c>
      <c r="B6" s="7" t="s">
        <v>33</v>
      </c>
      <c r="C6" s="3" t="str">
        <f>PROPER(TRIM(Table3[[#This Row],[Column1]]))</f>
        <v>Deepa Pandian</v>
      </c>
      <c r="D6" s="6">
        <v>52</v>
      </c>
      <c r="E6" s="6" t="s">
        <v>787</v>
      </c>
      <c r="F6" s="7" t="s">
        <v>35</v>
      </c>
      <c r="G6" s="8">
        <v>45268</v>
      </c>
      <c r="H6" s="7" t="s">
        <v>36</v>
      </c>
      <c r="I6" s="7" t="s">
        <v>37</v>
      </c>
      <c r="J6" s="7" t="s">
        <v>38</v>
      </c>
      <c r="K6" s="7" t="s">
        <v>39</v>
      </c>
      <c r="L6" s="9">
        <v>1000</v>
      </c>
      <c r="M6" s="9">
        <v>230</v>
      </c>
    </row>
    <row r="7" spans="1:13" ht="18" customHeight="1" x14ac:dyDescent="0.35">
      <c r="A7" s="26" t="s">
        <v>40</v>
      </c>
      <c r="B7" s="3" t="s">
        <v>41</v>
      </c>
      <c r="C7" s="3" t="str">
        <f>PROPER(TRIM(Table3[[#This Row],[Column1]]))</f>
        <v>Elan Iyer</v>
      </c>
      <c r="D7" s="2">
        <v>59</v>
      </c>
      <c r="E7" s="2" t="s">
        <v>787</v>
      </c>
      <c r="F7" s="3" t="s">
        <v>35</v>
      </c>
      <c r="G7" s="4">
        <v>45630</v>
      </c>
      <c r="H7" s="3" t="s">
        <v>42</v>
      </c>
      <c r="I7" s="3" t="s">
        <v>43</v>
      </c>
      <c r="J7" s="3" t="s">
        <v>44</v>
      </c>
      <c r="K7" s="3" t="s">
        <v>45</v>
      </c>
      <c r="L7" s="5">
        <v>300</v>
      </c>
      <c r="M7" s="5">
        <v>220</v>
      </c>
    </row>
    <row r="8" spans="1:13" ht="18" customHeight="1" x14ac:dyDescent="0.35">
      <c r="A8" s="27" t="s">
        <v>46</v>
      </c>
      <c r="B8" s="7" t="s">
        <v>47</v>
      </c>
      <c r="C8" s="3" t="str">
        <f>PROPER(TRIM(Table3[[#This Row],[Column1]]))</f>
        <v>Fatima Rao</v>
      </c>
      <c r="D8" s="6">
        <v>34</v>
      </c>
      <c r="E8" s="6" t="s">
        <v>788</v>
      </c>
      <c r="F8" s="7" t="s">
        <v>27</v>
      </c>
      <c r="G8" s="8">
        <v>45227</v>
      </c>
      <c r="H8" s="7" t="s">
        <v>48</v>
      </c>
      <c r="I8" s="7" t="s">
        <v>49</v>
      </c>
      <c r="J8" s="7" t="s">
        <v>50</v>
      </c>
      <c r="K8" s="7" t="s">
        <v>51</v>
      </c>
      <c r="L8" s="9">
        <v>700</v>
      </c>
      <c r="M8" s="9">
        <v>280</v>
      </c>
    </row>
    <row r="9" spans="1:13" ht="18" customHeight="1" x14ac:dyDescent="0.35">
      <c r="A9" s="26" t="s">
        <v>52</v>
      </c>
      <c r="B9" s="3" t="s">
        <v>53</v>
      </c>
      <c r="C9" s="3" t="str">
        <f>PROPER(TRIM(Table3[[#This Row],[Column1]]))</f>
        <v>Ganesh Rao</v>
      </c>
      <c r="D9" s="2">
        <v>54</v>
      </c>
      <c r="E9" s="2" t="s">
        <v>787</v>
      </c>
      <c r="F9" s="3" t="s">
        <v>35</v>
      </c>
      <c r="G9" s="4">
        <v>44990</v>
      </c>
      <c r="H9" s="3" t="s">
        <v>48</v>
      </c>
      <c r="I9" s="3" t="s">
        <v>54</v>
      </c>
      <c r="J9" s="3" t="s">
        <v>55</v>
      </c>
      <c r="K9" s="3" t="s">
        <v>56</v>
      </c>
      <c r="L9" s="5">
        <v>650</v>
      </c>
      <c r="M9" s="5">
        <v>210</v>
      </c>
    </row>
    <row r="10" spans="1:13" ht="18" customHeight="1" x14ac:dyDescent="0.35">
      <c r="A10" s="27" t="s">
        <v>57</v>
      </c>
      <c r="B10" s="7" t="s">
        <v>58</v>
      </c>
      <c r="C10" s="3" t="str">
        <f>PROPER(TRIM(Table3[[#This Row],[Column1]]))</f>
        <v>Heena Pillai</v>
      </c>
      <c r="D10" s="6">
        <v>9</v>
      </c>
      <c r="E10" s="6" t="s">
        <v>788</v>
      </c>
      <c r="F10" s="7" t="s">
        <v>16</v>
      </c>
      <c r="G10" s="8">
        <v>45607</v>
      </c>
      <c r="H10" s="7" t="s">
        <v>28</v>
      </c>
      <c r="I10" s="7" t="s">
        <v>59</v>
      </c>
      <c r="J10" s="7" t="s">
        <v>60</v>
      </c>
      <c r="K10" s="7" t="s">
        <v>61</v>
      </c>
      <c r="L10" s="9">
        <v>600</v>
      </c>
      <c r="M10" s="9">
        <v>290</v>
      </c>
    </row>
    <row r="11" spans="1:13" ht="18" customHeight="1" x14ac:dyDescent="0.35">
      <c r="A11" s="26" t="s">
        <v>62</v>
      </c>
      <c r="B11" s="3" t="s">
        <v>63</v>
      </c>
      <c r="C11" s="3" t="str">
        <f>PROPER(TRIM(Table3[[#This Row],[Column1]]))</f>
        <v>Ishaan Reddy</v>
      </c>
      <c r="D11" s="2">
        <v>23</v>
      </c>
      <c r="E11" s="2" t="s">
        <v>787</v>
      </c>
      <c r="F11" s="3" t="s">
        <v>27</v>
      </c>
      <c r="G11" s="4">
        <v>45070</v>
      </c>
      <c r="H11" s="3" t="s">
        <v>17</v>
      </c>
      <c r="I11" s="3" t="s">
        <v>64</v>
      </c>
      <c r="J11" s="3" t="s">
        <v>65</v>
      </c>
      <c r="K11" s="3" t="s">
        <v>66</v>
      </c>
      <c r="L11" s="5">
        <v>950</v>
      </c>
      <c r="M11" s="5">
        <v>720</v>
      </c>
    </row>
    <row r="12" spans="1:13" ht="18" customHeight="1" x14ac:dyDescent="0.35">
      <c r="A12" s="27" t="s">
        <v>67</v>
      </c>
      <c r="B12" s="7" t="s">
        <v>68</v>
      </c>
      <c r="C12" s="3" t="str">
        <f>PROPER(TRIM(Table3[[#This Row],[Column1]]))</f>
        <v>Jasmine Singh</v>
      </c>
      <c r="D12" s="6">
        <v>37</v>
      </c>
      <c r="E12" s="6" t="s">
        <v>772</v>
      </c>
      <c r="F12" s="7" t="s">
        <v>69</v>
      </c>
      <c r="G12" s="8">
        <v>45336</v>
      </c>
      <c r="H12" s="7" t="s">
        <v>42</v>
      </c>
      <c r="I12" s="7" t="s">
        <v>70</v>
      </c>
      <c r="J12" s="7" t="s">
        <v>71</v>
      </c>
      <c r="K12" s="7" t="s">
        <v>72</v>
      </c>
      <c r="L12" s="9">
        <v>350</v>
      </c>
      <c r="M12" s="9">
        <v>190</v>
      </c>
    </row>
    <row r="13" spans="1:13" ht="18" customHeight="1" x14ac:dyDescent="0.35">
      <c r="A13" s="26" t="s">
        <v>73</v>
      </c>
      <c r="B13" s="3" t="s">
        <v>74</v>
      </c>
      <c r="C13" s="3" t="str">
        <f>PROPER(TRIM(Table3[[#This Row],[Column1]]))</f>
        <v>Karthik Vel</v>
      </c>
      <c r="D13" s="2">
        <v>27</v>
      </c>
      <c r="E13" s="2" t="s">
        <v>788</v>
      </c>
      <c r="F13" s="3" t="s">
        <v>16</v>
      </c>
      <c r="G13" s="4">
        <v>45598</v>
      </c>
      <c r="H13" s="3" t="s">
        <v>36</v>
      </c>
      <c r="I13" s="3" t="s">
        <v>75</v>
      </c>
      <c r="J13" s="3" t="s">
        <v>76</v>
      </c>
      <c r="K13" s="3" t="s">
        <v>77</v>
      </c>
      <c r="L13" s="5">
        <v>900</v>
      </c>
      <c r="M13" s="5">
        <v>320</v>
      </c>
    </row>
    <row r="14" spans="1:13" ht="18" customHeight="1" x14ac:dyDescent="0.35">
      <c r="A14" s="27" t="s">
        <v>78</v>
      </c>
      <c r="B14" s="7" t="s">
        <v>79</v>
      </c>
      <c r="C14" s="3" t="str">
        <f>PROPER(TRIM(Table3[[#This Row],[Column1]]))</f>
        <v>Lavanya Murugan</v>
      </c>
      <c r="D14" s="6">
        <v>15</v>
      </c>
      <c r="E14" s="6" t="s">
        <v>788</v>
      </c>
      <c r="F14" s="7" t="s">
        <v>80</v>
      </c>
      <c r="G14" s="8">
        <v>45040</v>
      </c>
      <c r="H14" s="7" t="s">
        <v>36</v>
      </c>
      <c r="I14" s="7" t="s">
        <v>81</v>
      </c>
      <c r="J14" s="7" t="s">
        <v>76</v>
      </c>
      <c r="K14" s="7" t="s">
        <v>82</v>
      </c>
      <c r="L14" s="9">
        <v>900</v>
      </c>
      <c r="M14" s="9">
        <v>300</v>
      </c>
    </row>
    <row r="15" spans="1:13" ht="18" customHeight="1" x14ac:dyDescent="0.35">
      <c r="A15" s="26" t="s">
        <v>83</v>
      </c>
      <c r="B15" s="3" t="s">
        <v>84</v>
      </c>
      <c r="C15" s="3" t="str">
        <f>PROPER(TRIM(Table3[[#This Row],[Column1]]))</f>
        <v>Mohan Rajan</v>
      </c>
      <c r="D15" s="2">
        <v>64</v>
      </c>
      <c r="E15" s="6"/>
      <c r="F15" s="3" t="s">
        <v>16</v>
      </c>
      <c r="G15" s="4">
        <v>45605</v>
      </c>
      <c r="H15" s="3" t="s">
        <v>42</v>
      </c>
      <c r="I15" s="3" t="s">
        <v>43</v>
      </c>
      <c r="J15" s="3" t="s">
        <v>85</v>
      </c>
      <c r="K15" s="3" t="s">
        <v>86</v>
      </c>
      <c r="L15" s="5">
        <v>450</v>
      </c>
      <c r="M15" s="5">
        <v>380</v>
      </c>
    </row>
    <row r="16" spans="1:13" ht="18" customHeight="1" x14ac:dyDescent="0.35">
      <c r="A16" s="27" t="s">
        <v>87</v>
      </c>
      <c r="B16" s="7" t="s">
        <v>88</v>
      </c>
      <c r="C16" s="3" t="str">
        <f>PROPER(TRIM(Table3[[#This Row],[Column1]]))</f>
        <v>Nisha Mani</v>
      </c>
      <c r="D16" s="6">
        <v>33</v>
      </c>
      <c r="E16" s="6" t="s">
        <v>773</v>
      </c>
      <c r="F16" s="7" t="s">
        <v>35</v>
      </c>
      <c r="G16" s="8">
        <v>45172</v>
      </c>
      <c r="H16" s="7" t="s">
        <v>42</v>
      </c>
      <c r="I16" s="7" t="s">
        <v>89</v>
      </c>
      <c r="J16" s="7" t="s">
        <v>71</v>
      </c>
      <c r="K16" s="7" t="s">
        <v>90</v>
      </c>
      <c r="L16" s="9">
        <v>400</v>
      </c>
      <c r="M16" s="9">
        <v>350</v>
      </c>
    </row>
    <row r="17" spans="1:13" ht="18" customHeight="1" x14ac:dyDescent="0.35">
      <c r="A17" s="26" t="s">
        <v>91</v>
      </c>
      <c r="B17" s="3" t="s">
        <v>92</v>
      </c>
      <c r="C17" s="3" t="str">
        <f>PROPER(TRIM(Table3[[#This Row],[Column1]]))</f>
        <v>Omkar Raja</v>
      </c>
      <c r="D17" s="2">
        <v>7</v>
      </c>
      <c r="E17" s="2" t="s">
        <v>787</v>
      </c>
      <c r="F17" s="3" t="s">
        <v>35</v>
      </c>
      <c r="G17" s="4">
        <v>45084</v>
      </c>
      <c r="H17" s="3" t="s">
        <v>48</v>
      </c>
      <c r="I17" s="3" t="s">
        <v>93</v>
      </c>
      <c r="J17" s="3" t="s">
        <v>94</v>
      </c>
      <c r="K17" s="3" t="s">
        <v>95</v>
      </c>
      <c r="L17" s="5">
        <v>650</v>
      </c>
      <c r="M17" s="5">
        <v>490</v>
      </c>
    </row>
    <row r="18" spans="1:13" ht="18" customHeight="1" x14ac:dyDescent="0.35">
      <c r="A18" s="27" t="s">
        <v>96</v>
      </c>
      <c r="B18" s="7" t="s">
        <v>97</v>
      </c>
      <c r="C18" s="3" t="str">
        <f>PROPER(TRIM(Table3[[#This Row],[Column1]]))</f>
        <v>Preethi Balan</v>
      </c>
      <c r="D18" s="6">
        <v>41</v>
      </c>
      <c r="E18" s="6" t="s">
        <v>787</v>
      </c>
      <c r="F18" s="7" t="s">
        <v>27</v>
      </c>
      <c r="G18" s="8">
        <v>44963</v>
      </c>
      <c r="H18" s="7" t="s">
        <v>17</v>
      </c>
      <c r="I18" s="7" t="s">
        <v>18</v>
      </c>
      <c r="J18" s="7" t="s">
        <v>19</v>
      </c>
      <c r="K18" s="7" t="s">
        <v>20</v>
      </c>
      <c r="L18" s="9">
        <v>850</v>
      </c>
      <c r="M18" s="9">
        <v>500</v>
      </c>
    </row>
    <row r="19" spans="1:13" ht="18" customHeight="1" x14ac:dyDescent="0.35">
      <c r="A19" s="26" t="s">
        <v>98</v>
      </c>
      <c r="B19" s="3" t="s">
        <v>99</v>
      </c>
      <c r="C19" s="3" t="str">
        <f>PROPER(TRIM(Table3[[#This Row],[Column1]]))</f>
        <v>Qasim Reddy</v>
      </c>
      <c r="D19" s="2">
        <v>49</v>
      </c>
      <c r="E19" s="2" t="s">
        <v>34</v>
      </c>
      <c r="F19" s="3" t="s">
        <v>16</v>
      </c>
      <c r="G19" s="4">
        <v>45349</v>
      </c>
      <c r="H19" s="3" t="s">
        <v>48</v>
      </c>
      <c r="I19" s="3" t="s">
        <v>49</v>
      </c>
      <c r="J19" s="3" t="s">
        <v>94</v>
      </c>
      <c r="K19" s="3" t="s">
        <v>56</v>
      </c>
      <c r="L19" s="5">
        <v>700</v>
      </c>
      <c r="M19" s="5">
        <v>280</v>
      </c>
    </row>
    <row r="20" spans="1:13" ht="18" customHeight="1" x14ac:dyDescent="0.35">
      <c r="A20" s="27" t="s">
        <v>100</v>
      </c>
      <c r="B20" s="7" t="s">
        <v>101</v>
      </c>
      <c r="C20" s="3" t="str">
        <f>PROPER(TRIM(Table3[[#This Row],[Column1]]))</f>
        <v>Rekha Pandian</v>
      </c>
      <c r="D20" s="6">
        <v>6</v>
      </c>
      <c r="E20" s="6" t="s">
        <v>34</v>
      </c>
      <c r="F20" s="7" t="s">
        <v>16</v>
      </c>
      <c r="G20" s="8">
        <v>45393</v>
      </c>
      <c r="H20" s="7" t="s">
        <v>36</v>
      </c>
      <c r="I20" s="7" t="s">
        <v>81</v>
      </c>
      <c r="J20" s="7" t="s">
        <v>76</v>
      </c>
      <c r="K20" s="7" t="s">
        <v>82</v>
      </c>
      <c r="L20" s="9">
        <v>650</v>
      </c>
      <c r="M20" s="9">
        <v>540</v>
      </c>
    </row>
    <row r="21" spans="1:13" ht="18" customHeight="1" x14ac:dyDescent="0.35">
      <c r="A21" s="26" t="s">
        <v>102</v>
      </c>
      <c r="B21" s="3" t="s">
        <v>103</v>
      </c>
      <c r="C21" s="3" t="str">
        <f>PROPER(TRIM(Table3[[#This Row],[Column1]]))</f>
        <v>Sanjay Chandran</v>
      </c>
      <c r="D21" s="2">
        <v>51</v>
      </c>
      <c r="E21" s="2" t="s">
        <v>15</v>
      </c>
      <c r="F21" s="3" t="s">
        <v>35</v>
      </c>
      <c r="G21" s="4">
        <v>45132</v>
      </c>
      <c r="H21" s="3" t="s">
        <v>36</v>
      </c>
      <c r="I21" s="3" t="s">
        <v>37</v>
      </c>
      <c r="J21" s="3" t="s">
        <v>104</v>
      </c>
      <c r="K21" s="3" t="s">
        <v>39</v>
      </c>
      <c r="L21" s="5">
        <v>950</v>
      </c>
      <c r="M21" s="5">
        <v>380</v>
      </c>
    </row>
    <row r="22" spans="1:13" ht="18" customHeight="1" x14ac:dyDescent="0.35">
      <c r="A22" s="27" t="s">
        <v>105</v>
      </c>
      <c r="B22" s="7" t="s">
        <v>106</v>
      </c>
      <c r="C22" s="3" t="str">
        <f>PROPER(TRIM(Table3[[#This Row],[Column1]]))</f>
        <v>Tanya Menon</v>
      </c>
      <c r="D22" s="6">
        <v>35</v>
      </c>
      <c r="E22" s="6" t="s">
        <v>34</v>
      </c>
      <c r="F22" s="7" t="s">
        <v>107</v>
      </c>
      <c r="G22" s="8">
        <v>45391</v>
      </c>
      <c r="H22" s="7" t="s">
        <v>17</v>
      </c>
      <c r="I22" s="7" t="s">
        <v>18</v>
      </c>
      <c r="J22" s="7" t="s">
        <v>19</v>
      </c>
      <c r="K22" s="7" t="s">
        <v>24</v>
      </c>
      <c r="L22" s="9">
        <v>1000</v>
      </c>
      <c r="M22" s="9">
        <v>550</v>
      </c>
    </row>
    <row r="23" spans="1:13" ht="18" customHeight="1" x14ac:dyDescent="0.35">
      <c r="A23" s="26" t="s">
        <v>108</v>
      </c>
      <c r="B23" s="3" t="s">
        <v>109</v>
      </c>
      <c r="C23" s="3" t="str">
        <f>PROPER(TRIM(Table3[[#This Row],[Column1]]))</f>
        <v>Uday Subramanian</v>
      </c>
      <c r="D23" s="2">
        <v>70</v>
      </c>
      <c r="E23" s="2" t="s">
        <v>34</v>
      </c>
      <c r="F23" s="3" t="s">
        <v>80</v>
      </c>
      <c r="G23" s="4">
        <v>45049</v>
      </c>
      <c r="H23" s="3" t="s">
        <v>28</v>
      </c>
      <c r="I23" s="3" t="s">
        <v>29</v>
      </c>
      <c r="J23" s="3" t="s">
        <v>110</v>
      </c>
      <c r="K23" s="3" t="s">
        <v>111</v>
      </c>
      <c r="L23" s="5">
        <v>650</v>
      </c>
      <c r="M23" s="5">
        <v>280</v>
      </c>
    </row>
    <row r="24" spans="1:13" ht="18" customHeight="1" x14ac:dyDescent="0.35">
      <c r="A24" s="27" t="s">
        <v>112</v>
      </c>
      <c r="B24" s="7" t="s">
        <v>113</v>
      </c>
      <c r="C24" s="3" t="str">
        <f>PROPER(TRIM(Table3[[#This Row],[Column1]]))</f>
        <v>Vimala Vel</v>
      </c>
      <c r="D24" s="6">
        <v>60</v>
      </c>
      <c r="E24" s="6" t="s">
        <v>15</v>
      </c>
      <c r="F24" s="7" t="s">
        <v>69</v>
      </c>
      <c r="G24" s="8">
        <v>45460</v>
      </c>
      <c r="H24" s="7" t="s">
        <v>48</v>
      </c>
      <c r="I24" s="7" t="s">
        <v>93</v>
      </c>
      <c r="J24" s="7" t="s">
        <v>55</v>
      </c>
      <c r="K24" s="7" t="s">
        <v>114</v>
      </c>
      <c r="L24" s="9">
        <v>650</v>
      </c>
      <c r="M24" s="9">
        <v>350</v>
      </c>
    </row>
    <row r="25" spans="1:13" ht="18" customHeight="1" x14ac:dyDescent="0.35">
      <c r="A25" s="26" t="s">
        <v>115</v>
      </c>
      <c r="B25" s="3" t="s">
        <v>116</v>
      </c>
      <c r="C25" s="3" t="str">
        <f>PROPER(TRIM(Table3[[#This Row],[Column1]]))</f>
        <v>Wasim Pandian</v>
      </c>
      <c r="D25" s="2">
        <v>39</v>
      </c>
      <c r="E25" s="2" t="s">
        <v>15</v>
      </c>
      <c r="F25" s="3" t="s">
        <v>27</v>
      </c>
      <c r="G25" s="4">
        <v>45463</v>
      </c>
      <c r="H25" s="3" t="s">
        <v>42</v>
      </c>
      <c r="I25" s="3" t="s">
        <v>70</v>
      </c>
      <c r="J25" s="3" t="s">
        <v>110</v>
      </c>
      <c r="K25" s="3" t="s">
        <v>90</v>
      </c>
      <c r="L25" s="5">
        <v>300</v>
      </c>
      <c r="M25" s="5">
        <v>170</v>
      </c>
    </row>
    <row r="26" spans="1:13" ht="18" customHeight="1" x14ac:dyDescent="0.35">
      <c r="A26" s="27" t="s">
        <v>117</v>
      </c>
      <c r="B26" s="7" t="s">
        <v>118</v>
      </c>
      <c r="C26" s="3" t="str">
        <f>PROPER(TRIM(Table3[[#This Row],[Column1]]))</f>
        <v>Xena Devi</v>
      </c>
      <c r="D26" s="6">
        <v>79</v>
      </c>
      <c r="E26" s="6" t="s">
        <v>34</v>
      </c>
      <c r="F26" s="7" t="s">
        <v>16</v>
      </c>
      <c r="G26" s="8">
        <v>45450</v>
      </c>
      <c r="H26" s="7" t="s">
        <v>42</v>
      </c>
      <c r="I26" s="7" t="s">
        <v>43</v>
      </c>
      <c r="J26" s="7" t="s">
        <v>110</v>
      </c>
      <c r="K26" s="7" t="s">
        <v>119</v>
      </c>
      <c r="L26" s="9">
        <v>400</v>
      </c>
      <c r="M26" s="9">
        <v>250</v>
      </c>
    </row>
    <row r="27" spans="1:13" ht="18" customHeight="1" x14ac:dyDescent="0.35">
      <c r="A27" s="26" t="s">
        <v>120</v>
      </c>
      <c r="B27" s="3" t="s">
        <v>121</v>
      </c>
      <c r="C27" s="3" t="str">
        <f>PROPER(TRIM(Table3[[#This Row],[Column1]]))</f>
        <v>Yogesh Menon</v>
      </c>
      <c r="D27" s="2">
        <v>40</v>
      </c>
      <c r="E27" s="2" t="s">
        <v>34</v>
      </c>
      <c r="F27" s="3" t="s">
        <v>27</v>
      </c>
      <c r="G27" s="4">
        <v>44967</v>
      </c>
      <c r="H27" s="3" t="s">
        <v>28</v>
      </c>
      <c r="I27" s="3" t="s">
        <v>122</v>
      </c>
      <c r="J27" s="3" t="s">
        <v>123</v>
      </c>
      <c r="K27" s="3" t="s">
        <v>61</v>
      </c>
      <c r="L27" s="5">
        <v>450</v>
      </c>
      <c r="M27" s="5">
        <v>150</v>
      </c>
    </row>
    <row r="28" spans="1:13" ht="18" customHeight="1" x14ac:dyDescent="0.35">
      <c r="A28" s="27" t="s">
        <v>124</v>
      </c>
      <c r="B28" s="7" t="s">
        <v>125</v>
      </c>
      <c r="C28" s="3" t="str">
        <f>PROPER(TRIM(Table3[[#This Row],[Column1]]))</f>
        <v>Zara Krishnan</v>
      </c>
      <c r="D28" s="6">
        <v>24</v>
      </c>
      <c r="E28" s="6" t="s">
        <v>15</v>
      </c>
      <c r="F28" s="7" t="s">
        <v>27</v>
      </c>
      <c r="G28" s="8">
        <v>45315</v>
      </c>
      <c r="H28" s="7" t="s">
        <v>36</v>
      </c>
      <c r="I28" s="7" t="s">
        <v>81</v>
      </c>
      <c r="J28" s="7" t="s">
        <v>104</v>
      </c>
      <c r="K28" s="7" t="s">
        <v>82</v>
      </c>
      <c r="L28" s="9">
        <v>800</v>
      </c>
      <c r="M28" s="9">
        <v>260</v>
      </c>
    </row>
    <row r="29" spans="1:13" ht="18" customHeight="1" x14ac:dyDescent="0.35">
      <c r="A29" s="26" t="s">
        <v>126</v>
      </c>
      <c r="B29" s="3" t="s">
        <v>127</v>
      </c>
      <c r="C29" s="3" t="str">
        <f>PROPER(TRIM(Table3[[#This Row],[Column1]]))</f>
        <v>Arjun Murugan</v>
      </c>
      <c r="D29" s="2">
        <v>31</v>
      </c>
      <c r="E29" s="2" t="s">
        <v>15</v>
      </c>
      <c r="F29" s="3" t="s">
        <v>69</v>
      </c>
      <c r="G29" s="4">
        <v>45429</v>
      </c>
      <c r="H29" s="3" t="s">
        <v>42</v>
      </c>
      <c r="I29" s="3" t="s">
        <v>70</v>
      </c>
      <c r="J29" s="3" t="s">
        <v>128</v>
      </c>
      <c r="K29" s="3" t="s">
        <v>129</v>
      </c>
      <c r="L29" s="5">
        <v>350</v>
      </c>
      <c r="M29" s="5">
        <v>200</v>
      </c>
    </row>
    <row r="30" spans="1:13" ht="18" customHeight="1" x14ac:dyDescent="0.35">
      <c r="A30" s="27" t="s">
        <v>130</v>
      </c>
      <c r="B30" s="7" t="s">
        <v>131</v>
      </c>
      <c r="C30" s="3" t="str">
        <f>PROPER(TRIM(Table3[[#This Row],[Column1]]))</f>
        <v>Bhanu Mani</v>
      </c>
      <c r="D30" s="6">
        <v>33</v>
      </c>
      <c r="E30" s="6" t="s">
        <v>15</v>
      </c>
      <c r="F30" s="7" t="s">
        <v>80</v>
      </c>
      <c r="G30" s="8">
        <v>44965</v>
      </c>
      <c r="H30" s="7" t="s">
        <v>36</v>
      </c>
      <c r="I30" s="7" t="s">
        <v>81</v>
      </c>
      <c r="J30" s="7" t="s">
        <v>132</v>
      </c>
      <c r="K30" s="7" t="s">
        <v>133</v>
      </c>
      <c r="L30" s="9">
        <v>750</v>
      </c>
      <c r="M30" s="9">
        <v>570</v>
      </c>
    </row>
    <row r="31" spans="1:13" ht="18" customHeight="1" x14ac:dyDescent="0.35">
      <c r="A31" s="26" t="s">
        <v>134</v>
      </c>
      <c r="B31" s="3" t="s">
        <v>135</v>
      </c>
      <c r="C31" s="3" t="str">
        <f>PROPER(TRIM(Table3[[#This Row],[Column1]]))</f>
        <v>Chitra Menon</v>
      </c>
      <c r="D31" s="2">
        <v>14</v>
      </c>
      <c r="E31" s="2" t="s">
        <v>34</v>
      </c>
      <c r="F31" s="3" t="s">
        <v>35</v>
      </c>
      <c r="G31" s="4">
        <v>45488</v>
      </c>
      <c r="H31" s="3" t="s">
        <v>42</v>
      </c>
      <c r="I31" s="3" t="s">
        <v>70</v>
      </c>
      <c r="J31" s="3" t="s">
        <v>136</v>
      </c>
      <c r="K31" s="3" t="s">
        <v>86</v>
      </c>
      <c r="L31" s="5">
        <v>300</v>
      </c>
      <c r="M31" s="5">
        <v>220</v>
      </c>
    </row>
    <row r="32" spans="1:13" ht="18" customHeight="1" x14ac:dyDescent="0.35">
      <c r="A32" s="27" t="s">
        <v>137</v>
      </c>
      <c r="B32" s="7" t="s">
        <v>138</v>
      </c>
      <c r="C32" s="3" t="str">
        <f>PROPER(TRIM(Table3[[#This Row],[Column1]]))</f>
        <v>Dinesh Pillai</v>
      </c>
      <c r="D32" s="6">
        <v>37</v>
      </c>
      <c r="E32" s="6" t="s">
        <v>15</v>
      </c>
      <c r="F32" s="7" t="s">
        <v>16</v>
      </c>
      <c r="G32" s="8">
        <v>45191</v>
      </c>
      <c r="H32" s="7" t="s">
        <v>36</v>
      </c>
      <c r="I32" s="7" t="s">
        <v>81</v>
      </c>
      <c r="J32" s="7" t="s">
        <v>132</v>
      </c>
      <c r="K32" s="7" t="s">
        <v>133</v>
      </c>
      <c r="L32" s="9">
        <v>750</v>
      </c>
      <c r="M32" s="9">
        <v>210</v>
      </c>
    </row>
    <row r="33" spans="1:47" ht="18" customHeight="1" x14ac:dyDescent="0.35">
      <c r="A33" s="26" t="s">
        <v>139</v>
      </c>
      <c r="B33" s="3" t="s">
        <v>140</v>
      </c>
      <c r="C33" s="3" t="str">
        <f>PROPER(TRIM(Table3[[#This Row],[Column1]]))</f>
        <v>Esha Narayanan</v>
      </c>
      <c r="D33" s="2">
        <v>55</v>
      </c>
      <c r="E33" s="2" t="s">
        <v>15</v>
      </c>
      <c r="F33" s="3" t="s">
        <v>80</v>
      </c>
      <c r="G33" s="4">
        <v>45525</v>
      </c>
      <c r="H33" s="3" t="s">
        <v>48</v>
      </c>
      <c r="I33" s="3" t="s">
        <v>54</v>
      </c>
      <c r="J33" s="3" t="s">
        <v>55</v>
      </c>
      <c r="K33" s="3" t="s">
        <v>141</v>
      </c>
      <c r="L33" s="5">
        <v>700</v>
      </c>
      <c r="M33" s="5">
        <v>260</v>
      </c>
    </row>
    <row r="34" spans="1:47" ht="18" customHeight="1" x14ac:dyDescent="0.35">
      <c r="A34" s="27" t="s">
        <v>142</v>
      </c>
      <c r="B34" s="7" t="s">
        <v>143</v>
      </c>
      <c r="C34" s="3" t="str">
        <f>PROPER(TRIM(Table3[[#This Row],[Column1]]))</f>
        <v>Farhan Mani</v>
      </c>
      <c r="D34" s="6">
        <v>45</v>
      </c>
      <c r="E34" s="6" t="s">
        <v>34</v>
      </c>
      <c r="F34" s="7" t="s">
        <v>69</v>
      </c>
      <c r="G34" s="8">
        <v>45247</v>
      </c>
      <c r="H34" s="7" t="s">
        <v>36</v>
      </c>
      <c r="I34" s="7" t="s">
        <v>37</v>
      </c>
      <c r="J34" s="7" t="s">
        <v>144</v>
      </c>
      <c r="K34" s="7" t="s">
        <v>77</v>
      </c>
      <c r="L34" s="9">
        <v>900</v>
      </c>
      <c r="M34" s="9">
        <v>380</v>
      </c>
    </row>
    <row r="35" spans="1:47" ht="18" customHeight="1" x14ac:dyDescent="0.35">
      <c r="A35" s="26" t="s">
        <v>145</v>
      </c>
      <c r="B35" s="3" t="s">
        <v>146</v>
      </c>
      <c r="C35" s="3" t="str">
        <f>PROPER(TRIM(Table3[[#This Row],[Column1]]))</f>
        <v>Geetha Iyer</v>
      </c>
      <c r="D35" s="2">
        <v>72</v>
      </c>
      <c r="E35" s="2" t="s">
        <v>15</v>
      </c>
      <c r="F35" s="3" t="s">
        <v>16</v>
      </c>
      <c r="G35" s="4">
        <v>45584</v>
      </c>
      <c r="H35" s="3" t="s">
        <v>17</v>
      </c>
      <c r="I35" s="3" t="s">
        <v>18</v>
      </c>
      <c r="J35" s="3" t="s">
        <v>147</v>
      </c>
      <c r="K35" s="3" t="s">
        <v>148</v>
      </c>
      <c r="L35" s="5">
        <v>750</v>
      </c>
      <c r="M35" s="5">
        <v>850</v>
      </c>
    </row>
    <row r="36" spans="1:47" ht="18" customHeight="1" x14ac:dyDescent="0.35">
      <c r="A36" s="27" t="s">
        <v>149</v>
      </c>
      <c r="B36" s="7" t="s">
        <v>150</v>
      </c>
      <c r="C36" s="3" t="str">
        <f>PROPER(TRIM(Table3[[#This Row],[Column1]]))</f>
        <v>Harish Devi</v>
      </c>
      <c r="D36" s="6">
        <v>41</v>
      </c>
      <c r="E36" s="6" t="s">
        <v>15</v>
      </c>
      <c r="F36" s="7" t="s">
        <v>16</v>
      </c>
      <c r="G36" s="8">
        <v>45100</v>
      </c>
      <c r="H36" s="7" t="s">
        <v>48</v>
      </c>
      <c r="I36" s="7" t="s">
        <v>93</v>
      </c>
      <c r="J36" s="7" t="s">
        <v>151</v>
      </c>
      <c r="K36" s="7" t="s">
        <v>141</v>
      </c>
      <c r="L36" s="9">
        <v>650</v>
      </c>
      <c r="M36" s="9">
        <v>170</v>
      </c>
    </row>
    <row r="37" spans="1:47" ht="18" customHeight="1" x14ac:dyDescent="0.35">
      <c r="A37" s="26" t="s">
        <v>152</v>
      </c>
      <c r="B37" s="3" t="s">
        <v>153</v>
      </c>
      <c r="C37" s="3" t="str">
        <f>PROPER(TRIM(Table3[[#This Row],[Column1]]))</f>
        <v>Indira Patel</v>
      </c>
      <c r="D37" s="2">
        <v>29</v>
      </c>
      <c r="E37" s="2" t="s">
        <v>34</v>
      </c>
      <c r="F37" s="3" t="s">
        <v>16</v>
      </c>
      <c r="G37" s="4">
        <v>45599</v>
      </c>
      <c r="H37" s="3" t="s">
        <v>17</v>
      </c>
      <c r="I37" s="3" t="s">
        <v>23</v>
      </c>
      <c r="J37" s="3" t="s">
        <v>154</v>
      </c>
      <c r="K37" s="3" t="s">
        <v>20</v>
      </c>
      <c r="L37" s="5">
        <v>900</v>
      </c>
      <c r="M37" s="5">
        <v>680</v>
      </c>
    </row>
    <row r="38" spans="1:47" ht="18" customHeight="1" x14ac:dyDescent="0.35">
      <c r="A38" s="27" t="s">
        <v>155</v>
      </c>
      <c r="B38" s="7" t="s">
        <v>156</v>
      </c>
      <c r="C38" s="3" t="str">
        <f>PROPER(TRIM(Table3[[#This Row],[Column1]]))</f>
        <v>Jaya Reddy</v>
      </c>
      <c r="D38" s="6">
        <v>37</v>
      </c>
      <c r="E38" s="6" t="s">
        <v>34</v>
      </c>
      <c r="F38" s="7" t="s">
        <v>107</v>
      </c>
      <c r="G38" s="8">
        <v>45448</v>
      </c>
      <c r="H38" s="7" t="s">
        <v>42</v>
      </c>
      <c r="I38" s="7" t="s">
        <v>43</v>
      </c>
      <c r="J38" s="7" t="s">
        <v>110</v>
      </c>
      <c r="K38" s="7" t="s">
        <v>119</v>
      </c>
      <c r="L38" s="9">
        <v>400</v>
      </c>
      <c r="M38" s="9">
        <v>300</v>
      </c>
    </row>
    <row r="39" spans="1:47" ht="18" customHeight="1" x14ac:dyDescent="0.35">
      <c r="A39" s="26" t="s">
        <v>157</v>
      </c>
      <c r="B39" s="3" t="s">
        <v>158</v>
      </c>
      <c r="C39" s="3" t="str">
        <f>PROPER(TRIM(Table3[[#This Row],[Column1]]))</f>
        <v>Kiran Raja</v>
      </c>
      <c r="D39" s="2">
        <v>19</v>
      </c>
      <c r="E39" s="2" t="s">
        <v>15</v>
      </c>
      <c r="F39" s="3" t="s">
        <v>107</v>
      </c>
      <c r="G39" s="4">
        <v>45060</v>
      </c>
      <c r="H39" s="3" t="s">
        <v>48</v>
      </c>
      <c r="I39" s="3" t="s">
        <v>49</v>
      </c>
      <c r="J39" s="3" t="s">
        <v>50</v>
      </c>
      <c r="K39" s="3" t="s">
        <v>56</v>
      </c>
      <c r="L39" s="5">
        <v>850</v>
      </c>
      <c r="M39" s="5">
        <v>490</v>
      </c>
    </row>
    <row r="40" spans="1:47" ht="18" customHeight="1" x14ac:dyDescent="0.35">
      <c r="A40" s="27" t="s">
        <v>159</v>
      </c>
      <c r="B40" s="7" t="s">
        <v>160</v>
      </c>
      <c r="C40" s="3" t="str">
        <f>PROPER(TRIM(Table3[[#This Row],[Column1]]))</f>
        <v>Latha Rajan</v>
      </c>
      <c r="D40" s="6">
        <v>74</v>
      </c>
      <c r="E40" s="6" t="s">
        <v>15</v>
      </c>
      <c r="F40" s="7" t="s">
        <v>16</v>
      </c>
      <c r="G40" s="8">
        <v>45490</v>
      </c>
      <c r="H40" s="7" t="s">
        <v>36</v>
      </c>
      <c r="I40" s="7" t="s">
        <v>75</v>
      </c>
      <c r="J40" s="7" t="s">
        <v>104</v>
      </c>
      <c r="K40" s="7" t="s">
        <v>82</v>
      </c>
      <c r="L40" s="9">
        <v>1000</v>
      </c>
      <c r="M40" s="9">
        <v>400</v>
      </c>
    </row>
    <row r="41" spans="1:47" ht="18" customHeight="1" x14ac:dyDescent="0.35">
      <c r="A41" s="26" t="s">
        <v>161</v>
      </c>
      <c r="B41" s="3" t="s">
        <v>162</v>
      </c>
      <c r="C41" s="3" t="str">
        <f>PROPER(TRIM(Table3[[#This Row],[Column1]]))</f>
        <v>Mani Mani</v>
      </c>
      <c r="D41" s="2">
        <v>7</v>
      </c>
      <c r="E41" s="2" t="s">
        <v>15</v>
      </c>
      <c r="F41" s="3" t="s">
        <v>16</v>
      </c>
      <c r="G41" s="4">
        <v>45233</v>
      </c>
      <c r="H41" s="3" t="s">
        <v>17</v>
      </c>
      <c r="I41" s="3" t="s">
        <v>23</v>
      </c>
      <c r="J41" s="3" t="s">
        <v>65</v>
      </c>
      <c r="K41" s="3" t="s">
        <v>20</v>
      </c>
      <c r="L41" s="5">
        <v>700</v>
      </c>
      <c r="M41" s="5">
        <v>430</v>
      </c>
    </row>
    <row r="42" spans="1:47" ht="18" customHeight="1" x14ac:dyDescent="0.35">
      <c r="A42" s="27" t="s">
        <v>163</v>
      </c>
      <c r="B42" s="7" t="s">
        <v>164</v>
      </c>
      <c r="C42" s="3" t="str">
        <f>PROPER(TRIM(Table3[[#This Row],[Column1]]))</f>
        <v>Nalini Reddy</v>
      </c>
      <c r="D42" s="6">
        <v>49</v>
      </c>
      <c r="E42" s="6" t="s">
        <v>34</v>
      </c>
      <c r="F42" s="7" t="s">
        <v>107</v>
      </c>
      <c r="G42" s="8">
        <v>45468</v>
      </c>
      <c r="H42" s="7" t="s">
        <v>28</v>
      </c>
      <c r="I42" s="7" t="s">
        <v>29</v>
      </c>
      <c r="J42" s="7" t="s">
        <v>110</v>
      </c>
      <c r="K42" s="7" t="s">
        <v>61</v>
      </c>
      <c r="L42" s="9">
        <v>500</v>
      </c>
      <c r="M42" s="9">
        <v>260</v>
      </c>
    </row>
    <row r="43" spans="1:47" ht="18" customHeight="1" x14ac:dyDescent="0.35">
      <c r="A43" s="26" t="s">
        <v>165</v>
      </c>
      <c r="B43" s="3" t="s">
        <v>166</v>
      </c>
      <c r="C43" s="3" t="str">
        <f>PROPER(TRIM(Table3[[#This Row],[Column1]]))</f>
        <v>Pavan Chandran</v>
      </c>
      <c r="D43" s="2">
        <v>29</v>
      </c>
      <c r="E43" s="2" t="s">
        <v>15</v>
      </c>
      <c r="F43" s="3" t="s">
        <v>80</v>
      </c>
      <c r="G43" s="4">
        <v>45627</v>
      </c>
      <c r="H43" s="3" t="s">
        <v>42</v>
      </c>
      <c r="I43" s="3" t="s">
        <v>70</v>
      </c>
      <c r="J43" s="3" t="s">
        <v>44</v>
      </c>
      <c r="K43" s="3" t="s">
        <v>72</v>
      </c>
      <c r="L43" s="5">
        <v>350</v>
      </c>
      <c r="M43" s="5">
        <v>320</v>
      </c>
    </row>
    <row r="44" spans="1:47" ht="18" customHeight="1" x14ac:dyDescent="0.35">
      <c r="A44" s="27" t="s">
        <v>167</v>
      </c>
      <c r="B44" s="7" t="s">
        <v>168</v>
      </c>
      <c r="C44" s="3" t="str">
        <f>PROPER(TRIM(Table3[[#This Row],[Column1]]))</f>
        <v>Radha Patel</v>
      </c>
      <c r="D44" s="6">
        <v>62</v>
      </c>
      <c r="E44" s="6" t="s">
        <v>15</v>
      </c>
      <c r="F44" s="7" t="s">
        <v>69</v>
      </c>
      <c r="G44" s="8">
        <v>44951</v>
      </c>
      <c r="H44" s="7" t="s">
        <v>28</v>
      </c>
      <c r="I44" s="7" t="s">
        <v>29</v>
      </c>
      <c r="J44" s="7" t="s">
        <v>60</v>
      </c>
      <c r="K44" s="7" t="s">
        <v>61</v>
      </c>
      <c r="L44" s="9">
        <v>400</v>
      </c>
      <c r="M44" s="9">
        <v>260</v>
      </c>
      <c r="AU44" s="2" t="s">
        <v>787</v>
      </c>
    </row>
    <row r="45" spans="1:47" ht="18" customHeight="1" x14ac:dyDescent="0.35">
      <c r="A45" s="26" t="s">
        <v>169</v>
      </c>
      <c r="B45" s="3" t="s">
        <v>774</v>
      </c>
      <c r="C45" s="3" t="str">
        <f>PROPER(TRIM(Table3[[#This Row],[Column1]]))</f>
        <v>Suresh Murugan</v>
      </c>
      <c r="D45" s="2">
        <v>67</v>
      </c>
      <c r="E45" s="2" t="s">
        <v>34</v>
      </c>
      <c r="F45" s="3" t="s">
        <v>35</v>
      </c>
      <c r="G45" s="4">
        <v>45100</v>
      </c>
      <c r="H45" s="3" t="s">
        <v>48</v>
      </c>
      <c r="I45" s="3" t="s">
        <v>93</v>
      </c>
      <c r="J45" s="3" t="s">
        <v>151</v>
      </c>
      <c r="K45" s="3" t="s">
        <v>56</v>
      </c>
      <c r="L45" s="5">
        <v>800</v>
      </c>
      <c r="M45" s="5">
        <v>340</v>
      </c>
    </row>
    <row r="46" spans="1:47" ht="18" customHeight="1" x14ac:dyDescent="0.35">
      <c r="A46" s="27" t="s">
        <v>170</v>
      </c>
      <c r="B46" s="7" t="s">
        <v>171</v>
      </c>
      <c r="C46" s="3" t="str">
        <f>PROPER(TRIM(Table3[[#This Row],[Column1]]))</f>
        <v>Thilaga Sharma</v>
      </c>
      <c r="D46" s="6">
        <v>57</v>
      </c>
      <c r="E46" s="6" t="s">
        <v>15</v>
      </c>
      <c r="F46" s="7" t="s">
        <v>16</v>
      </c>
      <c r="G46" s="8">
        <v>45428</v>
      </c>
      <c r="H46" s="7" t="s">
        <v>28</v>
      </c>
      <c r="I46" s="7" t="s">
        <v>122</v>
      </c>
      <c r="J46" s="7" t="s">
        <v>123</v>
      </c>
      <c r="K46" s="7" t="s">
        <v>111</v>
      </c>
      <c r="L46" s="9">
        <v>550</v>
      </c>
      <c r="M46" s="9">
        <v>200</v>
      </c>
    </row>
    <row r="47" spans="1:47" ht="18" customHeight="1" x14ac:dyDescent="0.35">
      <c r="A47" s="26" t="s">
        <v>172</v>
      </c>
      <c r="B47" s="3" t="s">
        <v>173</v>
      </c>
      <c r="C47" s="3" t="str">
        <f>PROPER(TRIM(Table3[[#This Row],[Column1]]))</f>
        <v>Usha Singh</v>
      </c>
      <c r="D47" s="2">
        <v>36</v>
      </c>
      <c r="E47" s="2" t="s">
        <v>34</v>
      </c>
      <c r="F47" s="3" t="s">
        <v>16</v>
      </c>
      <c r="G47" s="4">
        <v>45253</v>
      </c>
      <c r="H47" s="3" t="s">
        <v>28</v>
      </c>
      <c r="I47" s="3" t="s">
        <v>29</v>
      </c>
      <c r="J47" s="3" t="s">
        <v>174</v>
      </c>
      <c r="K47" s="3" t="s">
        <v>31</v>
      </c>
      <c r="L47" s="5">
        <v>550</v>
      </c>
      <c r="M47" s="5">
        <v>140</v>
      </c>
    </row>
    <row r="48" spans="1:47" ht="18" customHeight="1" x14ac:dyDescent="0.35">
      <c r="A48" s="27" t="s">
        <v>175</v>
      </c>
      <c r="B48" s="7" t="s">
        <v>176</v>
      </c>
      <c r="C48" s="3" t="str">
        <f>PROPER(TRIM(Table3[[#This Row],[Column1]]))</f>
        <v>Venkat Balan</v>
      </c>
      <c r="D48" s="6">
        <v>24</v>
      </c>
      <c r="E48" s="6" t="s">
        <v>15</v>
      </c>
      <c r="F48" s="7" t="s">
        <v>35</v>
      </c>
      <c r="G48" s="8">
        <v>44986</v>
      </c>
      <c r="H48" s="7" t="s">
        <v>42</v>
      </c>
      <c r="I48" s="7" t="s">
        <v>89</v>
      </c>
      <c r="J48" s="7" t="s">
        <v>128</v>
      </c>
      <c r="K48" s="7" t="s">
        <v>129</v>
      </c>
      <c r="L48" s="9">
        <v>500</v>
      </c>
      <c r="M48" s="9">
        <v>350</v>
      </c>
    </row>
    <row r="49" spans="1:13" ht="18" customHeight="1" x14ac:dyDescent="0.35">
      <c r="A49" s="26" t="s">
        <v>177</v>
      </c>
      <c r="B49" s="3" t="s">
        <v>178</v>
      </c>
      <c r="C49" s="3" t="str">
        <f>PROPER(TRIM(Table3[[#This Row],[Column1]]))</f>
        <v>Yamini Kumar</v>
      </c>
      <c r="D49" s="2">
        <v>26</v>
      </c>
      <c r="E49" s="2" t="s">
        <v>15</v>
      </c>
      <c r="F49" s="3" t="s">
        <v>80</v>
      </c>
      <c r="G49" s="4">
        <v>45646</v>
      </c>
      <c r="H49" s="3" t="s">
        <v>42</v>
      </c>
      <c r="I49" s="3" t="s">
        <v>89</v>
      </c>
      <c r="J49" s="3" t="s">
        <v>44</v>
      </c>
      <c r="K49" s="3" t="s">
        <v>45</v>
      </c>
      <c r="L49" s="5">
        <v>450</v>
      </c>
      <c r="M49" s="5">
        <v>180</v>
      </c>
    </row>
    <row r="50" spans="1:13" ht="18" customHeight="1" x14ac:dyDescent="0.35">
      <c r="A50" s="27" t="s">
        <v>179</v>
      </c>
      <c r="B50" s="7" t="s">
        <v>180</v>
      </c>
      <c r="C50" s="3" t="str">
        <f>PROPER(TRIM(Table3[[#This Row],[Column1]]))</f>
        <v>Aditya Subramanian</v>
      </c>
      <c r="D50" s="6">
        <v>68</v>
      </c>
      <c r="E50" s="6" t="s">
        <v>34</v>
      </c>
      <c r="F50" s="7" t="s">
        <v>69</v>
      </c>
      <c r="G50" s="8">
        <v>45484</v>
      </c>
      <c r="H50" s="7" t="s">
        <v>28</v>
      </c>
      <c r="I50" s="7" t="s">
        <v>59</v>
      </c>
      <c r="J50" s="7" t="s">
        <v>60</v>
      </c>
      <c r="K50" s="7" t="s">
        <v>111</v>
      </c>
      <c r="L50" s="9">
        <v>500</v>
      </c>
      <c r="M50" s="9">
        <v>260</v>
      </c>
    </row>
    <row r="51" spans="1:13" ht="18" customHeight="1" x14ac:dyDescent="0.35">
      <c r="A51" s="26" t="s">
        <v>181</v>
      </c>
      <c r="B51" s="3" t="s">
        <v>182</v>
      </c>
      <c r="C51" s="3" t="str">
        <f>PROPER(TRIM(Table3[[#This Row],[Column1]]))</f>
        <v>Bharathi Menon</v>
      </c>
      <c r="D51" s="2">
        <v>35</v>
      </c>
      <c r="E51" s="2" t="s">
        <v>15</v>
      </c>
      <c r="F51" s="3" t="s">
        <v>16</v>
      </c>
      <c r="G51" s="4">
        <v>45039</v>
      </c>
      <c r="H51" s="3" t="s">
        <v>17</v>
      </c>
      <c r="I51" s="3" t="s">
        <v>18</v>
      </c>
      <c r="J51" s="3" t="s">
        <v>19</v>
      </c>
      <c r="K51" s="3" t="s">
        <v>148</v>
      </c>
      <c r="L51" s="5">
        <v>800</v>
      </c>
      <c r="M51" s="5">
        <v>360</v>
      </c>
    </row>
    <row r="52" spans="1:13" ht="18" customHeight="1" x14ac:dyDescent="0.35">
      <c r="A52" s="27" t="s">
        <v>183</v>
      </c>
      <c r="B52" s="7" t="s">
        <v>184</v>
      </c>
      <c r="C52" s="3" t="str">
        <f>PROPER(TRIM(Table3[[#This Row],[Column1]]))</f>
        <v>Chandru Krishnan</v>
      </c>
      <c r="D52" s="6">
        <v>64</v>
      </c>
      <c r="E52" s="6" t="s">
        <v>15</v>
      </c>
      <c r="F52" s="7" t="s">
        <v>16</v>
      </c>
      <c r="G52" s="8">
        <v>45427</v>
      </c>
      <c r="H52" s="7" t="s">
        <v>17</v>
      </c>
      <c r="I52" s="7" t="s">
        <v>18</v>
      </c>
      <c r="J52" s="7" t="s">
        <v>65</v>
      </c>
      <c r="K52" s="7" t="s">
        <v>20</v>
      </c>
      <c r="L52" s="9">
        <v>1050</v>
      </c>
      <c r="M52" s="9">
        <v>740</v>
      </c>
    </row>
    <row r="53" spans="1:13" ht="18" customHeight="1" x14ac:dyDescent="0.35">
      <c r="A53" s="26" t="s">
        <v>185</v>
      </c>
      <c r="B53" s="3" t="s">
        <v>186</v>
      </c>
      <c r="C53" s="3" t="str">
        <f>PROPER(TRIM(Table3[[#This Row],[Column1]]))</f>
        <v>Devika Balan</v>
      </c>
      <c r="D53" s="2">
        <v>44</v>
      </c>
      <c r="E53" s="2" t="s">
        <v>15</v>
      </c>
      <c r="F53" s="3" t="s">
        <v>27</v>
      </c>
      <c r="G53" s="4">
        <v>45371</v>
      </c>
      <c r="H53" s="3" t="s">
        <v>48</v>
      </c>
      <c r="I53" s="3" t="s">
        <v>54</v>
      </c>
      <c r="J53" s="3" t="s">
        <v>55</v>
      </c>
      <c r="K53" s="3" t="s">
        <v>56</v>
      </c>
      <c r="L53" s="5">
        <v>850</v>
      </c>
      <c r="M53" s="5">
        <v>220</v>
      </c>
    </row>
    <row r="54" spans="1:13" ht="18" customHeight="1" x14ac:dyDescent="0.35">
      <c r="A54" s="27" t="s">
        <v>187</v>
      </c>
      <c r="B54" s="7" t="s">
        <v>188</v>
      </c>
      <c r="C54" s="3" t="str">
        <f>PROPER(TRIM(Table3[[#This Row],[Column1]]))</f>
        <v>Elango Reddy</v>
      </c>
      <c r="D54" s="6">
        <v>27</v>
      </c>
      <c r="E54" s="6" t="s">
        <v>15</v>
      </c>
      <c r="F54" s="7" t="s">
        <v>27</v>
      </c>
      <c r="G54" s="8">
        <v>45524</v>
      </c>
      <c r="H54" s="7" t="s">
        <v>36</v>
      </c>
      <c r="I54" s="7" t="s">
        <v>37</v>
      </c>
      <c r="J54" s="7" t="s">
        <v>144</v>
      </c>
      <c r="K54" s="7" t="s">
        <v>189</v>
      </c>
      <c r="L54" s="9">
        <v>850</v>
      </c>
      <c r="M54" s="9">
        <v>600</v>
      </c>
    </row>
    <row r="55" spans="1:13" ht="18" customHeight="1" x14ac:dyDescent="0.35">
      <c r="A55" s="26" t="s">
        <v>190</v>
      </c>
      <c r="B55" s="3" t="s">
        <v>191</v>
      </c>
      <c r="C55" s="3" t="str">
        <f>PROPER(TRIM(Table3[[#This Row],[Column1]]))</f>
        <v>Fathima Narayanan</v>
      </c>
      <c r="D55" s="2">
        <v>62</v>
      </c>
      <c r="E55" s="2" t="s">
        <v>34</v>
      </c>
      <c r="F55" s="3" t="s">
        <v>16</v>
      </c>
      <c r="G55" s="4">
        <v>45139</v>
      </c>
      <c r="H55" s="3" t="s">
        <v>17</v>
      </c>
      <c r="I55" s="3" t="s">
        <v>23</v>
      </c>
      <c r="J55" s="3" t="s">
        <v>192</v>
      </c>
      <c r="K55" s="3" t="s">
        <v>66</v>
      </c>
      <c r="L55" s="5">
        <v>750</v>
      </c>
      <c r="M55" s="5">
        <v>420</v>
      </c>
    </row>
    <row r="56" spans="1:13" ht="18" customHeight="1" x14ac:dyDescent="0.35">
      <c r="A56" s="27" t="s">
        <v>193</v>
      </c>
      <c r="B56" s="7" t="s">
        <v>194</v>
      </c>
      <c r="C56" s="3" t="str">
        <f>PROPER(TRIM(Table3[[#This Row],[Column1]]))</f>
        <v>Gopal Rajan</v>
      </c>
      <c r="D56" s="6">
        <v>73</v>
      </c>
      <c r="E56" s="6" t="s">
        <v>34</v>
      </c>
      <c r="F56" s="7" t="s">
        <v>16</v>
      </c>
      <c r="G56" s="8">
        <v>45589</v>
      </c>
      <c r="H56" s="7" t="s">
        <v>42</v>
      </c>
      <c r="I56" s="7" t="s">
        <v>70</v>
      </c>
      <c r="J56" s="7" t="s">
        <v>71</v>
      </c>
      <c r="K56" s="7" t="s">
        <v>86</v>
      </c>
      <c r="L56" s="9">
        <v>350</v>
      </c>
      <c r="M56" s="9">
        <v>110</v>
      </c>
    </row>
    <row r="57" spans="1:13" ht="18" customHeight="1" x14ac:dyDescent="0.35">
      <c r="A57" s="26" t="s">
        <v>195</v>
      </c>
      <c r="B57" s="3" t="s">
        <v>196</v>
      </c>
      <c r="C57" s="3" t="str">
        <f>PROPER(TRIM(Table3[[#This Row],[Column1]]))</f>
        <v>Hema Menon</v>
      </c>
      <c r="D57" s="2">
        <v>29</v>
      </c>
      <c r="E57" s="2" t="s">
        <v>34</v>
      </c>
      <c r="F57" s="3" t="s">
        <v>16</v>
      </c>
      <c r="G57" s="4">
        <v>45206</v>
      </c>
      <c r="H57" s="3" t="s">
        <v>42</v>
      </c>
      <c r="I57" s="3" t="s">
        <v>70</v>
      </c>
      <c r="J57" s="3" t="s">
        <v>136</v>
      </c>
      <c r="K57" s="3" t="s">
        <v>197</v>
      </c>
      <c r="L57" s="5">
        <v>350</v>
      </c>
      <c r="M57" s="5">
        <v>340</v>
      </c>
    </row>
    <row r="58" spans="1:13" ht="18" customHeight="1" x14ac:dyDescent="0.35">
      <c r="A58" s="27" t="s">
        <v>198</v>
      </c>
      <c r="B58" s="7" t="s">
        <v>199</v>
      </c>
      <c r="C58" s="3" t="str">
        <f>PROPER(TRIM(Table3[[#This Row],[Column1]]))</f>
        <v>Ilango Pandian</v>
      </c>
      <c r="D58" s="6">
        <v>47</v>
      </c>
      <c r="E58" s="6" t="s">
        <v>34</v>
      </c>
      <c r="F58" s="7" t="s">
        <v>35</v>
      </c>
      <c r="G58" s="8">
        <v>45245</v>
      </c>
      <c r="H58" s="7" t="s">
        <v>42</v>
      </c>
      <c r="I58" s="7" t="s">
        <v>43</v>
      </c>
      <c r="J58" s="7" t="s">
        <v>110</v>
      </c>
      <c r="K58" s="7" t="s">
        <v>86</v>
      </c>
      <c r="L58" s="9">
        <v>350</v>
      </c>
      <c r="M58" s="9">
        <v>300</v>
      </c>
    </row>
    <row r="59" spans="1:13" ht="18" customHeight="1" x14ac:dyDescent="0.35">
      <c r="A59" s="26" t="s">
        <v>200</v>
      </c>
      <c r="B59" s="3" t="s">
        <v>201</v>
      </c>
      <c r="C59" s="3" t="str">
        <f>PROPER(TRIM(Table3[[#This Row],[Column1]]))</f>
        <v>Janani Narayanan</v>
      </c>
      <c r="D59" s="2">
        <v>47</v>
      </c>
      <c r="E59" s="2" t="s">
        <v>34</v>
      </c>
      <c r="F59" s="3" t="s">
        <v>27</v>
      </c>
      <c r="G59" s="4">
        <v>45515</v>
      </c>
      <c r="H59" s="3" t="s">
        <v>36</v>
      </c>
      <c r="I59" s="3" t="s">
        <v>37</v>
      </c>
      <c r="J59" s="3" t="s">
        <v>144</v>
      </c>
      <c r="K59" s="3" t="s">
        <v>82</v>
      </c>
      <c r="L59" s="5">
        <v>600</v>
      </c>
      <c r="M59" s="5">
        <v>440</v>
      </c>
    </row>
    <row r="60" spans="1:13" ht="18" customHeight="1" x14ac:dyDescent="0.35">
      <c r="A60" s="27" t="s">
        <v>202</v>
      </c>
      <c r="B60" s="7" t="s">
        <v>203</v>
      </c>
      <c r="C60" s="3" t="str">
        <f>PROPER(TRIM(Table3[[#This Row],[Column1]]))</f>
        <v>Kabilan Sharma</v>
      </c>
      <c r="D60" s="6">
        <v>15</v>
      </c>
      <c r="E60" s="6" t="s">
        <v>15</v>
      </c>
      <c r="F60" s="7" t="s">
        <v>16</v>
      </c>
      <c r="G60" s="8">
        <v>44940</v>
      </c>
      <c r="H60" s="7" t="s">
        <v>28</v>
      </c>
      <c r="I60" s="7" t="s">
        <v>122</v>
      </c>
      <c r="J60" s="7" t="s">
        <v>110</v>
      </c>
      <c r="K60" s="7" t="s">
        <v>31</v>
      </c>
      <c r="L60" s="9">
        <v>600</v>
      </c>
      <c r="M60" s="9">
        <v>170</v>
      </c>
    </row>
    <row r="61" spans="1:13" ht="18" customHeight="1" x14ac:dyDescent="0.35">
      <c r="A61" s="26" t="s">
        <v>204</v>
      </c>
      <c r="B61" s="3" t="s">
        <v>205</v>
      </c>
      <c r="C61" s="3" t="str">
        <f>PROPER(TRIM(Table3[[#This Row],[Column1]]))</f>
        <v>Lalitha Krishnan</v>
      </c>
      <c r="D61" s="2">
        <v>38</v>
      </c>
      <c r="E61" s="2" t="s">
        <v>15</v>
      </c>
      <c r="F61" s="3" t="s">
        <v>107</v>
      </c>
      <c r="G61" s="4">
        <v>45059</v>
      </c>
      <c r="H61" s="3" t="s">
        <v>42</v>
      </c>
      <c r="I61" s="3" t="s">
        <v>70</v>
      </c>
      <c r="J61" s="3" t="s">
        <v>85</v>
      </c>
      <c r="K61" s="3" t="s">
        <v>129</v>
      </c>
      <c r="L61" s="5">
        <v>450</v>
      </c>
      <c r="M61" s="5">
        <v>140</v>
      </c>
    </row>
    <row r="62" spans="1:13" ht="18" customHeight="1" x14ac:dyDescent="0.35">
      <c r="A62" s="27" t="s">
        <v>206</v>
      </c>
      <c r="B62" s="7" t="s">
        <v>207</v>
      </c>
      <c r="C62" s="3" t="str">
        <f>PROPER(TRIM(Table3[[#This Row],[Column1]]))</f>
        <v>Muthu Pillai</v>
      </c>
      <c r="D62" s="6">
        <v>14</v>
      </c>
      <c r="E62" s="6" t="s">
        <v>34</v>
      </c>
      <c r="F62" s="7" t="s">
        <v>16</v>
      </c>
      <c r="G62" s="8">
        <v>45135</v>
      </c>
      <c r="H62" s="7" t="s">
        <v>17</v>
      </c>
      <c r="I62" s="7" t="s">
        <v>18</v>
      </c>
      <c r="J62" s="7" t="s">
        <v>65</v>
      </c>
      <c r="K62" s="7" t="s">
        <v>148</v>
      </c>
      <c r="L62" s="9">
        <v>1150</v>
      </c>
      <c r="M62" s="9">
        <v>440</v>
      </c>
    </row>
    <row r="63" spans="1:13" ht="18" customHeight="1" x14ac:dyDescent="0.35">
      <c r="A63" s="26" t="s">
        <v>208</v>
      </c>
      <c r="B63" s="3" t="s">
        <v>209</v>
      </c>
      <c r="C63" s="3" t="str">
        <f>PROPER(TRIM(Table3[[#This Row],[Column1]]))</f>
        <v>Nandini Menon</v>
      </c>
      <c r="D63" s="2">
        <v>54</v>
      </c>
      <c r="E63" s="2" t="s">
        <v>34</v>
      </c>
      <c r="F63" s="3" t="s">
        <v>69</v>
      </c>
      <c r="G63" s="4">
        <v>45319</v>
      </c>
      <c r="H63" s="3" t="s">
        <v>17</v>
      </c>
      <c r="I63" s="3" t="s">
        <v>18</v>
      </c>
      <c r="J63" s="3" t="s">
        <v>147</v>
      </c>
      <c r="K63" s="3" t="s">
        <v>24</v>
      </c>
      <c r="L63" s="5">
        <v>950</v>
      </c>
      <c r="M63" s="5">
        <v>480</v>
      </c>
    </row>
    <row r="64" spans="1:13" ht="18" customHeight="1" x14ac:dyDescent="0.35">
      <c r="A64" s="27" t="s">
        <v>210</v>
      </c>
      <c r="B64" s="7" t="s">
        <v>211</v>
      </c>
      <c r="C64" s="3" t="str">
        <f>PROPER(TRIM(Table3[[#This Row],[Column1]]))</f>
        <v>Prakash Raja</v>
      </c>
      <c r="D64" s="6">
        <v>6</v>
      </c>
      <c r="E64" s="6" t="s">
        <v>34</v>
      </c>
      <c r="F64" s="7" t="s">
        <v>16</v>
      </c>
      <c r="G64" s="8">
        <v>45058</v>
      </c>
      <c r="H64" s="7" t="s">
        <v>17</v>
      </c>
      <c r="I64" s="7" t="s">
        <v>18</v>
      </c>
      <c r="J64" s="7" t="s">
        <v>65</v>
      </c>
      <c r="K64" s="7" t="s">
        <v>24</v>
      </c>
      <c r="L64" s="9">
        <v>1050</v>
      </c>
      <c r="M64" s="9">
        <v>660</v>
      </c>
    </row>
    <row r="65" spans="1:13" ht="18" customHeight="1" x14ac:dyDescent="0.35">
      <c r="A65" s="26" t="s">
        <v>212</v>
      </c>
      <c r="B65" s="3" t="s">
        <v>213</v>
      </c>
      <c r="C65" s="3" t="str">
        <f>PROPER(TRIM(Table3[[#This Row],[Column1]]))</f>
        <v>Ramya Iyer</v>
      </c>
      <c r="D65" s="2">
        <v>34</v>
      </c>
      <c r="E65" s="2" t="s">
        <v>34</v>
      </c>
      <c r="F65" s="3" t="s">
        <v>16</v>
      </c>
      <c r="G65" s="4">
        <v>45477</v>
      </c>
      <c r="H65" s="3" t="s">
        <v>28</v>
      </c>
      <c r="I65" s="3" t="s">
        <v>29</v>
      </c>
      <c r="J65" s="3" t="s">
        <v>174</v>
      </c>
      <c r="K65" s="3" t="s">
        <v>31</v>
      </c>
      <c r="L65" s="5">
        <v>400</v>
      </c>
      <c r="M65" s="5">
        <v>240</v>
      </c>
    </row>
    <row r="66" spans="1:13" ht="18" customHeight="1" x14ac:dyDescent="0.35">
      <c r="A66" s="27" t="s">
        <v>214</v>
      </c>
      <c r="B66" s="7" t="s">
        <v>215</v>
      </c>
      <c r="C66" s="3" t="str">
        <f>PROPER(TRIM(Table3[[#This Row],[Column1]]))</f>
        <v>Selvam Vel</v>
      </c>
      <c r="D66" s="6">
        <v>66</v>
      </c>
      <c r="E66" s="6" t="s">
        <v>15</v>
      </c>
      <c r="F66" s="7" t="s">
        <v>35</v>
      </c>
      <c r="G66" s="8">
        <v>45592</v>
      </c>
      <c r="H66" s="7" t="s">
        <v>48</v>
      </c>
      <c r="I66" s="7" t="s">
        <v>49</v>
      </c>
      <c r="J66" s="7" t="s">
        <v>50</v>
      </c>
      <c r="K66" s="7" t="s">
        <v>51</v>
      </c>
      <c r="L66" s="9">
        <v>750</v>
      </c>
      <c r="M66" s="9">
        <v>380</v>
      </c>
    </row>
    <row r="67" spans="1:13" ht="18" customHeight="1" x14ac:dyDescent="0.35">
      <c r="A67" s="26" t="s">
        <v>216</v>
      </c>
      <c r="B67" s="3" t="s">
        <v>217</v>
      </c>
      <c r="C67" s="3" t="str">
        <f>PROPER(TRIM(Table3[[#This Row],[Column1]]))</f>
        <v>Thenmozhi Narayanan</v>
      </c>
      <c r="D67" s="2">
        <v>61</v>
      </c>
      <c r="E67" s="2" t="s">
        <v>34</v>
      </c>
      <c r="F67" s="3" t="s">
        <v>69</v>
      </c>
      <c r="G67" s="4">
        <v>45063</v>
      </c>
      <c r="H67" s="3" t="s">
        <v>42</v>
      </c>
      <c r="I67" s="3" t="s">
        <v>70</v>
      </c>
      <c r="J67" s="3" t="s">
        <v>71</v>
      </c>
      <c r="K67" s="3" t="s">
        <v>129</v>
      </c>
      <c r="L67" s="5">
        <v>400</v>
      </c>
      <c r="M67" s="5">
        <v>200</v>
      </c>
    </row>
    <row r="68" spans="1:13" ht="18" customHeight="1" x14ac:dyDescent="0.35">
      <c r="A68" s="27" t="s">
        <v>218</v>
      </c>
      <c r="B68" s="7" t="s">
        <v>219</v>
      </c>
      <c r="C68" s="3" t="str">
        <f>PROPER(TRIM(Table3[[#This Row],[Column1]]))</f>
        <v>Uma Pandian</v>
      </c>
      <c r="D68" s="6">
        <v>8</v>
      </c>
      <c r="E68" s="6" t="s">
        <v>34</v>
      </c>
      <c r="F68" s="7" t="s">
        <v>16</v>
      </c>
      <c r="G68" s="8">
        <v>45025</v>
      </c>
      <c r="H68" s="7" t="s">
        <v>48</v>
      </c>
      <c r="I68" s="7" t="s">
        <v>54</v>
      </c>
      <c r="J68" s="7" t="s">
        <v>151</v>
      </c>
      <c r="K68" s="7" t="s">
        <v>114</v>
      </c>
      <c r="L68" s="9">
        <v>550</v>
      </c>
      <c r="M68" s="9">
        <v>240</v>
      </c>
    </row>
    <row r="69" spans="1:13" ht="18" customHeight="1" x14ac:dyDescent="0.35">
      <c r="A69" s="26" t="s">
        <v>220</v>
      </c>
      <c r="B69" s="3" t="s">
        <v>221</v>
      </c>
      <c r="C69" s="3" t="str">
        <f>PROPER(TRIM(Table3[[#This Row],[Column1]]))</f>
        <v>Vijaya Iyer</v>
      </c>
      <c r="D69" s="2">
        <v>13</v>
      </c>
      <c r="E69" s="2" t="s">
        <v>34</v>
      </c>
      <c r="F69" s="3" t="s">
        <v>16</v>
      </c>
      <c r="G69" s="4">
        <v>45288</v>
      </c>
      <c r="H69" s="3" t="s">
        <v>48</v>
      </c>
      <c r="I69" s="3" t="s">
        <v>54</v>
      </c>
      <c r="J69" s="3" t="s">
        <v>94</v>
      </c>
      <c r="K69" s="3" t="s">
        <v>95</v>
      </c>
      <c r="L69" s="5">
        <v>750</v>
      </c>
      <c r="M69" s="5">
        <v>350</v>
      </c>
    </row>
    <row r="70" spans="1:13" ht="18" customHeight="1" x14ac:dyDescent="0.35">
      <c r="A70" s="27" t="s">
        <v>222</v>
      </c>
      <c r="B70" s="7" t="s">
        <v>223</v>
      </c>
      <c r="C70" s="3" t="str">
        <f>PROPER(TRIM(Table3[[#This Row],[Column1]]))</f>
        <v>Anbu Rajan</v>
      </c>
      <c r="D70" s="6">
        <v>64</v>
      </c>
      <c r="E70" s="6" t="s">
        <v>34</v>
      </c>
      <c r="F70" s="7" t="s">
        <v>80</v>
      </c>
      <c r="G70" s="8">
        <v>45446</v>
      </c>
      <c r="H70" s="7" t="s">
        <v>17</v>
      </c>
      <c r="I70" s="7" t="s">
        <v>64</v>
      </c>
      <c r="J70" s="7" t="s">
        <v>19</v>
      </c>
      <c r="K70" s="7" t="s">
        <v>24</v>
      </c>
      <c r="L70" s="9">
        <v>1000</v>
      </c>
      <c r="M70" s="9">
        <v>340</v>
      </c>
    </row>
    <row r="71" spans="1:13" ht="18" customHeight="1" x14ac:dyDescent="0.35">
      <c r="A71" s="26" t="s">
        <v>224</v>
      </c>
      <c r="B71" s="3" t="s">
        <v>225</v>
      </c>
      <c r="C71" s="3" t="str">
        <f>PROPER(TRIM(Table3[[#This Row],[Column1]]))</f>
        <v>Bala Mani</v>
      </c>
      <c r="D71" s="2">
        <v>9</v>
      </c>
      <c r="E71" s="2" t="s">
        <v>15</v>
      </c>
      <c r="F71" s="3" t="s">
        <v>27</v>
      </c>
      <c r="G71" s="4">
        <v>45402</v>
      </c>
      <c r="H71" s="3" t="s">
        <v>17</v>
      </c>
      <c r="I71" s="3" t="s">
        <v>23</v>
      </c>
      <c r="J71" s="3" t="s">
        <v>154</v>
      </c>
      <c r="K71" s="3" t="s">
        <v>226</v>
      </c>
      <c r="L71" s="5">
        <v>1100</v>
      </c>
      <c r="M71" s="5">
        <v>520</v>
      </c>
    </row>
    <row r="72" spans="1:13" ht="18" customHeight="1" x14ac:dyDescent="0.35">
      <c r="A72" s="27" t="s">
        <v>227</v>
      </c>
      <c r="B72" s="7" t="s">
        <v>228</v>
      </c>
      <c r="C72" s="3" t="str">
        <f>PROPER(TRIM(Table3[[#This Row],[Column1]]))</f>
        <v>Chandra Iyer</v>
      </c>
      <c r="D72" s="6">
        <v>19</v>
      </c>
      <c r="E72" s="6" t="s">
        <v>34</v>
      </c>
      <c r="F72" s="7" t="s">
        <v>16</v>
      </c>
      <c r="G72" s="8">
        <v>45006</v>
      </c>
      <c r="H72" s="7" t="s">
        <v>17</v>
      </c>
      <c r="I72" s="7" t="s">
        <v>18</v>
      </c>
      <c r="J72" s="7" t="s">
        <v>154</v>
      </c>
      <c r="K72" s="7" t="s">
        <v>24</v>
      </c>
      <c r="L72" s="9">
        <v>750</v>
      </c>
      <c r="M72" s="9">
        <v>550</v>
      </c>
    </row>
    <row r="73" spans="1:13" ht="18" customHeight="1" x14ac:dyDescent="0.35">
      <c r="A73" s="26" t="s">
        <v>229</v>
      </c>
      <c r="B73" s="3" t="s">
        <v>230</v>
      </c>
      <c r="C73" s="3" t="str">
        <f>PROPER(TRIM(Table3[[#This Row],[Column1]]))</f>
        <v>Durai Sharma</v>
      </c>
      <c r="D73" s="2">
        <v>6</v>
      </c>
      <c r="E73" s="2" t="s">
        <v>15</v>
      </c>
      <c r="F73" s="3" t="s">
        <v>27</v>
      </c>
      <c r="G73" s="4">
        <v>45158</v>
      </c>
      <c r="H73" s="3" t="s">
        <v>42</v>
      </c>
      <c r="I73" s="3" t="s">
        <v>43</v>
      </c>
      <c r="J73" s="3" t="s">
        <v>65</v>
      </c>
      <c r="K73" s="3" t="s">
        <v>90</v>
      </c>
      <c r="L73" s="5">
        <v>400</v>
      </c>
      <c r="M73" s="5">
        <v>170</v>
      </c>
    </row>
    <row r="74" spans="1:13" ht="18" customHeight="1" x14ac:dyDescent="0.35">
      <c r="A74" s="27" t="s">
        <v>231</v>
      </c>
      <c r="B74" s="7" t="s">
        <v>232</v>
      </c>
      <c r="C74" s="3" t="str">
        <f>PROPER(TRIM(Table3[[#This Row],[Column1]]))</f>
        <v>Ezhil Nair</v>
      </c>
      <c r="D74" s="6">
        <v>72</v>
      </c>
      <c r="E74" s="6" t="s">
        <v>15</v>
      </c>
      <c r="F74" s="7" t="s">
        <v>107</v>
      </c>
      <c r="G74" s="8">
        <v>45529</v>
      </c>
      <c r="H74" s="7" t="s">
        <v>42</v>
      </c>
      <c r="I74" s="7" t="s">
        <v>43</v>
      </c>
      <c r="J74" s="7" t="s">
        <v>44</v>
      </c>
      <c r="K74" s="7" t="s">
        <v>86</v>
      </c>
      <c r="L74" s="9">
        <v>350</v>
      </c>
      <c r="M74" s="9">
        <v>170</v>
      </c>
    </row>
    <row r="75" spans="1:13" ht="18" customHeight="1" x14ac:dyDescent="0.35">
      <c r="A75" s="26" t="s">
        <v>233</v>
      </c>
      <c r="B75" s="3" t="s">
        <v>234</v>
      </c>
      <c r="C75" s="3" t="str">
        <f>PROPER(TRIM(Table3[[#This Row],[Column1]]))</f>
        <v>Guna Kumar</v>
      </c>
      <c r="D75" s="2">
        <v>12</v>
      </c>
      <c r="E75" s="2" t="s">
        <v>34</v>
      </c>
      <c r="F75" s="3" t="s">
        <v>80</v>
      </c>
      <c r="G75" s="4">
        <v>45174</v>
      </c>
      <c r="H75" s="3" t="s">
        <v>36</v>
      </c>
      <c r="I75" s="3" t="s">
        <v>75</v>
      </c>
      <c r="J75" s="3" t="s">
        <v>104</v>
      </c>
      <c r="K75" s="3" t="s">
        <v>133</v>
      </c>
      <c r="L75" s="5">
        <v>750</v>
      </c>
      <c r="M75" s="5">
        <v>400</v>
      </c>
    </row>
    <row r="76" spans="1:13" ht="18" customHeight="1" x14ac:dyDescent="0.35">
      <c r="A76" s="27" t="s">
        <v>235</v>
      </c>
      <c r="B76" s="7" t="s">
        <v>236</v>
      </c>
      <c r="C76" s="3" t="str">
        <f>PROPER(TRIM(Table3[[#This Row],[Column1]]))</f>
        <v>Hari Iyer</v>
      </c>
      <c r="D76" s="6">
        <v>10</v>
      </c>
      <c r="E76" s="6" t="s">
        <v>34</v>
      </c>
      <c r="F76" s="7" t="s">
        <v>80</v>
      </c>
      <c r="G76" s="8">
        <v>45193</v>
      </c>
      <c r="H76" s="7" t="s">
        <v>42</v>
      </c>
      <c r="I76" s="7" t="s">
        <v>70</v>
      </c>
      <c r="J76" s="7" t="s">
        <v>136</v>
      </c>
      <c r="K76" s="7" t="s">
        <v>45</v>
      </c>
      <c r="L76" s="9">
        <v>500</v>
      </c>
      <c r="M76" s="9">
        <v>350</v>
      </c>
    </row>
    <row r="77" spans="1:13" ht="18" customHeight="1" x14ac:dyDescent="0.35">
      <c r="A77" s="26" t="s">
        <v>237</v>
      </c>
      <c r="B77" s="3" t="s">
        <v>238</v>
      </c>
      <c r="C77" s="3" t="str">
        <f>PROPER(TRIM(Table3[[#This Row],[Column1]]))</f>
        <v>Indu Chandran</v>
      </c>
      <c r="D77" s="2">
        <v>25</v>
      </c>
      <c r="E77" s="2" t="s">
        <v>15</v>
      </c>
      <c r="F77" s="3" t="s">
        <v>35</v>
      </c>
      <c r="G77" s="4">
        <v>45023</v>
      </c>
      <c r="H77" s="3" t="s">
        <v>36</v>
      </c>
      <c r="I77" s="3" t="s">
        <v>75</v>
      </c>
      <c r="J77" s="3" t="s">
        <v>38</v>
      </c>
      <c r="K77" s="3" t="s">
        <v>189</v>
      </c>
      <c r="L77" s="5">
        <v>850</v>
      </c>
      <c r="M77" s="5">
        <v>500</v>
      </c>
    </row>
    <row r="78" spans="1:13" ht="18" customHeight="1" x14ac:dyDescent="0.35">
      <c r="A78" s="27" t="s">
        <v>239</v>
      </c>
      <c r="B78" s="7" t="s">
        <v>240</v>
      </c>
      <c r="C78" s="3" t="str">
        <f>PROPER(TRIM(Table3[[#This Row],[Column1]]))</f>
        <v>Jothi Mani</v>
      </c>
      <c r="D78" s="6">
        <v>77</v>
      </c>
      <c r="E78" s="6" t="s">
        <v>34</v>
      </c>
      <c r="F78" s="7" t="s">
        <v>80</v>
      </c>
      <c r="G78" s="8">
        <v>45239</v>
      </c>
      <c r="H78" s="7" t="s">
        <v>17</v>
      </c>
      <c r="I78" s="7" t="s">
        <v>18</v>
      </c>
      <c r="J78" s="7" t="s">
        <v>65</v>
      </c>
      <c r="K78" s="7" t="s">
        <v>20</v>
      </c>
      <c r="L78" s="9">
        <v>850</v>
      </c>
      <c r="M78" s="9">
        <v>330</v>
      </c>
    </row>
    <row r="79" spans="1:13" ht="18" customHeight="1" x14ac:dyDescent="0.35">
      <c r="A79" s="26" t="s">
        <v>241</v>
      </c>
      <c r="B79" s="3" t="s">
        <v>242</v>
      </c>
      <c r="C79" s="3" t="str">
        <f>PROPER(TRIM(Table3[[#This Row],[Column1]]))</f>
        <v>Kamal Subramanian</v>
      </c>
      <c r="D79" s="2">
        <v>50</v>
      </c>
      <c r="E79" s="2" t="s">
        <v>34</v>
      </c>
      <c r="F79" s="3" t="s">
        <v>27</v>
      </c>
      <c r="G79" s="4">
        <v>45498</v>
      </c>
      <c r="H79" s="3" t="s">
        <v>42</v>
      </c>
      <c r="I79" s="3" t="s">
        <v>43</v>
      </c>
      <c r="J79" s="3" t="s">
        <v>65</v>
      </c>
      <c r="K79" s="3" t="s">
        <v>90</v>
      </c>
      <c r="L79" s="5">
        <v>300</v>
      </c>
      <c r="M79" s="5">
        <v>170</v>
      </c>
    </row>
    <row r="80" spans="1:13" ht="18" customHeight="1" x14ac:dyDescent="0.35">
      <c r="A80" s="27" t="s">
        <v>243</v>
      </c>
      <c r="B80" s="7" t="s">
        <v>244</v>
      </c>
      <c r="C80" s="3" t="str">
        <f>PROPER(TRIM(Table3[[#This Row],[Column1]]))</f>
        <v>Lekha Reddy</v>
      </c>
      <c r="D80" s="6">
        <v>27</v>
      </c>
      <c r="E80" s="6" t="s">
        <v>15</v>
      </c>
      <c r="F80" s="7" t="s">
        <v>16</v>
      </c>
      <c r="G80" s="8">
        <v>44952</v>
      </c>
      <c r="H80" s="7" t="s">
        <v>36</v>
      </c>
      <c r="I80" s="7" t="s">
        <v>75</v>
      </c>
      <c r="J80" s="7" t="s">
        <v>76</v>
      </c>
      <c r="K80" s="7" t="s">
        <v>189</v>
      </c>
      <c r="L80" s="9">
        <v>800</v>
      </c>
      <c r="M80" s="9">
        <v>360</v>
      </c>
    </row>
    <row r="81" spans="1:13" ht="18" customHeight="1" x14ac:dyDescent="0.35">
      <c r="A81" s="26" t="s">
        <v>245</v>
      </c>
      <c r="B81" s="3" t="s">
        <v>246</v>
      </c>
      <c r="C81" s="3" t="str">
        <f>PROPER(TRIM(Table3[[#This Row],[Column1]]))</f>
        <v>Malar Subramanian</v>
      </c>
      <c r="D81" s="2">
        <v>78</v>
      </c>
      <c r="E81" s="2" t="s">
        <v>15</v>
      </c>
      <c r="F81" s="3" t="s">
        <v>107</v>
      </c>
      <c r="G81" s="4">
        <v>45568</v>
      </c>
      <c r="H81" s="3" t="s">
        <v>17</v>
      </c>
      <c r="I81" s="3" t="s">
        <v>64</v>
      </c>
      <c r="J81" s="3" t="s">
        <v>154</v>
      </c>
      <c r="K81" s="3" t="s">
        <v>24</v>
      </c>
      <c r="L81" s="5">
        <v>800</v>
      </c>
      <c r="M81" s="5">
        <v>650</v>
      </c>
    </row>
    <row r="82" spans="1:13" ht="18" customHeight="1" x14ac:dyDescent="0.35">
      <c r="A82" s="27" t="s">
        <v>247</v>
      </c>
      <c r="B82" s="7" t="s">
        <v>248</v>
      </c>
      <c r="C82" s="3" t="str">
        <f>PROPER(TRIM(Table3[[#This Row],[Column1]]))</f>
        <v>Naga Selvam</v>
      </c>
      <c r="D82" s="6">
        <v>7</v>
      </c>
      <c r="E82" s="6" t="s">
        <v>34</v>
      </c>
      <c r="F82" s="7" t="s">
        <v>69</v>
      </c>
      <c r="G82" s="8">
        <v>45268</v>
      </c>
      <c r="H82" s="7" t="s">
        <v>28</v>
      </c>
      <c r="I82" s="7" t="s">
        <v>59</v>
      </c>
      <c r="J82" s="7" t="s">
        <v>30</v>
      </c>
      <c r="K82" s="7" t="s">
        <v>31</v>
      </c>
      <c r="L82" s="9">
        <v>700</v>
      </c>
      <c r="M82" s="9">
        <v>200</v>
      </c>
    </row>
    <row r="83" spans="1:13" ht="18" customHeight="1" x14ac:dyDescent="0.35">
      <c r="A83" s="26" t="s">
        <v>249</v>
      </c>
      <c r="B83" s="3" t="s">
        <v>250</v>
      </c>
      <c r="C83" s="3" t="str">
        <f>PROPER(TRIM(Table3[[#This Row],[Column1]]))</f>
        <v>Oviya Reddy</v>
      </c>
      <c r="D83" s="2">
        <v>52</v>
      </c>
      <c r="E83" s="2" t="s">
        <v>15</v>
      </c>
      <c r="F83" s="3" t="s">
        <v>69</v>
      </c>
      <c r="G83" s="4">
        <v>45628</v>
      </c>
      <c r="H83" s="3" t="s">
        <v>42</v>
      </c>
      <c r="I83" s="3" t="s">
        <v>43</v>
      </c>
      <c r="J83" s="3" t="s">
        <v>110</v>
      </c>
      <c r="K83" s="3" t="s">
        <v>119</v>
      </c>
      <c r="L83" s="5">
        <v>400</v>
      </c>
      <c r="M83" s="5">
        <v>190</v>
      </c>
    </row>
    <row r="84" spans="1:13" ht="18" customHeight="1" x14ac:dyDescent="0.35">
      <c r="A84" s="27" t="s">
        <v>251</v>
      </c>
      <c r="B84" s="7" t="s">
        <v>252</v>
      </c>
      <c r="C84" s="3" t="str">
        <f>PROPER(TRIM(Table3[[#This Row],[Column1]]))</f>
        <v>Pari Pillai</v>
      </c>
      <c r="D84" s="6">
        <v>22</v>
      </c>
      <c r="E84" s="6" t="s">
        <v>34</v>
      </c>
      <c r="F84" s="7" t="s">
        <v>80</v>
      </c>
      <c r="G84" s="8">
        <v>45438</v>
      </c>
      <c r="H84" s="7" t="s">
        <v>42</v>
      </c>
      <c r="I84" s="7" t="s">
        <v>70</v>
      </c>
      <c r="J84" s="7" t="s">
        <v>71</v>
      </c>
      <c r="K84" s="7" t="s">
        <v>129</v>
      </c>
      <c r="L84" s="9">
        <v>500</v>
      </c>
      <c r="M84" s="9">
        <v>350</v>
      </c>
    </row>
    <row r="85" spans="1:13" ht="18" customHeight="1" x14ac:dyDescent="0.35">
      <c r="A85" s="26" t="s">
        <v>253</v>
      </c>
      <c r="B85" s="3" t="s">
        <v>254</v>
      </c>
      <c r="C85" s="3" t="str">
        <f>PROPER(TRIM(Table3[[#This Row],[Column1]]))</f>
        <v>Raja Verma</v>
      </c>
      <c r="D85" s="2">
        <v>13</v>
      </c>
      <c r="E85" s="2" t="s">
        <v>34</v>
      </c>
      <c r="F85" s="3" t="s">
        <v>35</v>
      </c>
      <c r="G85" s="4">
        <v>45179</v>
      </c>
      <c r="H85" s="3" t="s">
        <v>17</v>
      </c>
      <c r="I85" s="3" t="s">
        <v>64</v>
      </c>
      <c r="J85" s="3" t="s">
        <v>19</v>
      </c>
      <c r="K85" s="3" t="s">
        <v>20</v>
      </c>
      <c r="L85" s="5">
        <v>900</v>
      </c>
      <c r="M85" s="5">
        <v>630</v>
      </c>
    </row>
    <row r="86" spans="1:13" ht="18" customHeight="1" x14ac:dyDescent="0.35">
      <c r="A86" s="27" t="s">
        <v>255</v>
      </c>
      <c r="B86" s="7" t="s">
        <v>256</v>
      </c>
      <c r="C86" s="3" t="str">
        <f>PROPER(TRIM(Table3[[#This Row],[Column1]]))</f>
        <v>Suba Pandian</v>
      </c>
      <c r="D86" s="6">
        <v>33</v>
      </c>
      <c r="E86" s="6" t="s">
        <v>34</v>
      </c>
      <c r="F86" s="7" t="s">
        <v>35</v>
      </c>
      <c r="G86" s="8">
        <v>45513</v>
      </c>
      <c r="H86" s="7" t="s">
        <v>48</v>
      </c>
      <c r="I86" s="7" t="s">
        <v>93</v>
      </c>
      <c r="J86" s="7" t="s">
        <v>257</v>
      </c>
      <c r="K86" s="7" t="s">
        <v>56</v>
      </c>
      <c r="L86" s="9">
        <v>550</v>
      </c>
      <c r="M86" s="9">
        <v>470</v>
      </c>
    </row>
    <row r="87" spans="1:13" ht="18" customHeight="1" x14ac:dyDescent="0.35">
      <c r="A87" s="26" t="s">
        <v>258</v>
      </c>
      <c r="B87" s="3" t="s">
        <v>259</v>
      </c>
      <c r="C87" s="3" t="str">
        <f>PROPER(TRIM(Table3[[#This Row],[Column1]]))</f>
        <v>Tamil Kumar</v>
      </c>
      <c r="D87" s="2">
        <v>70</v>
      </c>
      <c r="E87" s="2" t="s">
        <v>34</v>
      </c>
      <c r="F87" s="3" t="s">
        <v>35</v>
      </c>
      <c r="G87" s="4">
        <v>45491</v>
      </c>
      <c r="H87" s="3" t="s">
        <v>42</v>
      </c>
      <c r="I87" s="3" t="s">
        <v>70</v>
      </c>
      <c r="J87" s="3" t="s">
        <v>110</v>
      </c>
      <c r="K87" s="3" t="s">
        <v>197</v>
      </c>
      <c r="L87" s="5">
        <v>450</v>
      </c>
      <c r="M87" s="5">
        <v>310</v>
      </c>
    </row>
    <row r="88" spans="1:13" ht="18" customHeight="1" x14ac:dyDescent="0.35">
      <c r="A88" s="27" t="s">
        <v>260</v>
      </c>
      <c r="B88" s="7" t="s">
        <v>261</v>
      </c>
      <c r="C88" s="3" t="str">
        <f>PROPER(TRIM(Table3[[#This Row],[Column1]]))</f>
        <v>Vani Murugan</v>
      </c>
      <c r="D88" s="6">
        <v>13</v>
      </c>
      <c r="E88" s="6" t="s">
        <v>34</v>
      </c>
      <c r="F88" s="7" t="s">
        <v>80</v>
      </c>
      <c r="G88" s="8">
        <v>45479</v>
      </c>
      <c r="H88" s="7" t="s">
        <v>42</v>
      </c>
      <c r="I88" s="7" t="s">
        <v>70</v>
      </c>
      <c r="J88" s="7" t="s">
        <v>65</v>
      </c>
      <c r="K88" s="7" t="s">
        <v>197</v>
      </c>
      <c r="L88" s="9">
        <v>450</v>
      </c>
      <c r="M88" s="9">
        <v>280</v>
      </c>
    </row>
    <row r="89" spans="1:13" ht="18" customHeight="1" x14ac:dyDescent="0.35">
      <c r="A89" s="26" t="s">
        <v>262</v>
      </c>
      <c r="B89" s="3" t="s">
        <v>263</v>
      </c>
      <c r="C89" s="3" t="str">
        <f>PROPER(TRIM(Table3[[#This Row],[Column1]]))</f>
        <v>Yamuna Patel</v>
      </c>
      <c r="D89" s="2">
        <v>65</v>
      </c>
      <c r="E89" s="2" t="s">
        <v>34</v>
      </c>
      <c r="F89" s="3" t="s">
        <v>27</v>
      </c>
      <c r="G89" s="4">
        <v>45491</v>
      </c>
      <c r="H89" s="3" t="s">
        <v>17</v>
      </c>
      <c r="I89" s="3" t="s">
        <v>64</v>
      </c>
      <c r="J89" s="3" t="s">
        <v>65</v>
      </c>
      <c r="K89" s="3" t="s">
        <v>148</v>
      </c>
      <c r="L89" s="5">
        <v>1150</v>
      </c>
      <c r="M89" s="5">
        <v>620</v>
      </c>
    </row>
    <row r="90" spans="1:13" ht="18" customHeight="1" x14ac:dyDescent="0.35">
      <c r="A90" s="27" t="s">
        <v>264</v>
      </c>
      <c r="B90" s="7" t="s">
        <v>265</v>
      </c>
      <c r="C90" s="3" t="str">
        <f>PROPER(TRIM(Table3[[#This Row],[Column1]]))</f>
        <v>Abinaya Pillai</v>
      </c>
      <c r="D90" s="6">
        <v>50</v>
      </c>
      <c r="E90" s="6" t="s">
        <v>34</v>
      </c>
      <c r="F90" s="7" t="s">
        <v>16</v>
      </c>
      <c r="G90" s="8">
        <v>45427</v>
      </c>
      <c r="H90" s="7" t="s">
        <v>17</v>
      </c>
      <c r="I90" s="7" t="s">
        <v>23</v>
      </c>
      <c r="J90" s="7" t="s">
        <v>65</v>
      </c>
      <c r="K90" s="7" t="s">
        <v>148</v>
      </c>
      <c r="L90" s="9">
        <v>750</v>
      </c>
      <c r="M90" s="9">
        <v>900</v>
      </c>
    </row>
    <row r="91" spans="1:13" ht="18" customHeight="1" x14ac:dyDescent="0.35">
      <c r="A91" s="26" t="s">
        <v>266</v>
      </c>
      <c r="B91" s="3" t="s">
        <v>267</v>
      </c>
      <c r="C91" s="3" t="str">
        <f>PROPER(TRIM(Table3[[#This Row],[Column1]]))</f>
        <v>Boopathi Rajan</v>
      </c>
      <c r="D91" s="2">
        <v>44</v>
      </c>
      <c r="E91" s="2" t="s">
        <v>15</v>
      </c>
      <c r="F91" s="3" t="s">
        <v>80</v>
      </c>
      <c r="G91" s="4">
        <v>45628</v>
      </c>
      <c r="H91" s="3" t="s">
        <v>17</v>
      </c>
      <c r="I91" s="3" t="s">
        <v>18</v>
      </c>
      <c r="J91" s="3" t="s">
        <v>19</v>
      </c>
      <c r="K91" s="3" t="s">
        <v>226</v>
      </c>
      <c r="L91" s="5">
        <v>850</v>
      </c>
      <c r="M91" s="5">
        <v>340</v>
      </c>
    </row>
    <row r="92" spans="1:13" ht="18" customHeight="1" x14ac:dyDescent="0.35">
      <c r="A92" s="27" t="s">
        <v>268</v>
      </c>
      <c r="B92" s="7" t="s">
        <v>269</v>
      </c>
      <c r="C92" s="3" t="str">
        <f>PROPER(TRIM(Table3[[#This Row],[Column1]]))</f>
        <v>Chelvi Murugan</v>
      </c>
      <c r="D92" s="6">
        <v>65</v>
      </c>
      <c r="E92" s="6" t="s">
        <v>15</v>
      </c>
      <c r="F92" s="7" t="s">
        <v>16</v>
      </c>
      <c r="G92" s="8">
        <v>45227</v>
      </c>
      <c r="H92" s="7" t="s">
        <v>42</v>
      </c>
      <c r="I92" s="7" t="s">
        <v>43</v>
      </c>
      <c r="J92" s="7" t="s">
        <v>136</v>
      </c>
      <c r="K92" s="7" t="s">
        <v>72</v>
      </c>
      <c r="L92" s="9">
        <v>350</v>
      </c>
      <c r="M92" s="9">
        <v>340</v>
      </c>
    </row>
    <row r="93" spans="1:13" ht="18" customHeight="1" x14ac:dyDescent="0.35">
      <c r="A93" s="26" t="s">
        <v>270</v>
      </c>
      <c r="B93" s="3" t="s">
        <v>271</v>
      </c>
      <c r="C93" s="3" t="str">
        <f>PROPER(TRIM(Table3[[#This Row],[Column1]]))</f>
        <v>Deva Menon</v>
      </c>
      <c r="D93" s="2">
        <v>18</v>
      </c>
      <c r="E93" s="2" t="s">
        <v>15</v>
      </c>
      <c r="F93" s="3" t="s">
        <v>107</v>
      </c>
      <c r="G93" s="4">
        <v>45223</v>
      </c>
      <c r="H93" s="3" t="s">
        <v>48</v>
      </c>
      <c r="I93" s="3" t="s">
        <v>49</v>
      </c>
      <c r="J93" s="3" t="s">
        <v>151</v>
      </c>
      <c r="K93" s="3" t="s">
        <v>141</v>
      </c>
      <c r="L93" s="5">
        <v>600</v>
      </c>
      <c r="M93" s="5">
        <v>350</v>
      </c>
    </row>
    <row r="94" spans="1:13" ht="18" customHeight="1" x14ac:dyDescent="0.35">
      <c r="A94" s="27" t="s">
        <v>272</v>
      </c>
      <c r="B94" s="7" t="s">
        <v>273</v>
      </c>
      <c r="C94" s="3" t="str">
        <f>PROPER(TRIM(Table3[[#This Row],[Column1]]))</f>
        <v>Elaya Sharma</v>
      </c>
      <c r="D94" s="6">
        <v>21</v>
      </c>
      <c r="E94" s="6" t="s">
        <v>34</v>
      </c>
      <c r="F94" s="7" t="s">
        <v>16</v>
      </c>
      <c r="G94" s="8">
        <v>45058</v>
      </c>
      <c r="H94" s="7" t="s">
        <v>17</v>
      </c>
      <c r="I94" s="7" t="s">
        <v>18</v>
      </c>
      <c r="J94" s="7" t="s">
        <v>147</v>
      </c>
      <c r="K94" s="7" t="s">
        <v>226</v>
      </c>
      <c r="L94" s="9">
        <v>1000</v>
      </c>
      <c r="M94" s="9">
        <v>620</v>
      </c>
    </row>
    <row r="95" spans="1:13" ht="18" customHeight="1" x14ac:dyDescent="0.35">
      <c r="A95" s="26" t="s">
        <v>274</v>
      </c>
      <c r="B95" s="3" t="s">
        <v>275</v>
      </c>
      <c r="C95" s="3" t="str">
        <f>PROPER(TRIM(Table3[[#This Row],[Column1]]))</f>
        <v>Guru Selvam</v>
      </c>
      <c r="D95" s="2">
        <v>10</v>
      </c>
      <c r="E95" s="2" t="s">
        <v>15</v>
      </c>
      <c r="F95" s="3" t="s">
        <v>16</v>
      </c>
      <c r="G95" s="4">
        <v>44996</v>
      </c>
      <c r="H95" s="3" t="s">
        <v>42</v>
      </c>
      <c r="I95" s="3" t="s">
        <v>43</v>
      </c>
      <c r="J95" s="3" t="s">
        <v>136</v>
      </c>
      <c r="K95" s="3" t="s">
        <v>197</v>
      </c>
      <c r="L95" s="5">
        <v>450</v>
      </c>
      <c r="M95" s="5">
        <v>100</v>
      </c>
    </row>
    <row r="96" spans="1:13" ht="18" customHeight="1" x14ac:dyDescent="0.35">
      <c r="A96" s="27" t="s">
        <v>276</v>
      </c>
      <c r="B96" s="7" t="s">
        <v>277</v>
      </c>
      <c r="C96" s="3" t="str">
        <f>PROPER(TRIM(Table3[[#This Row],[Column1]]))</f>
        <v>Haran Menon</v>
      </c>
      <c r="D96" s="6">
        <v>51</v>
      </c>
      <c r="E96" s="6" t="s">
        <v>34</v>
      </c>
      <c r="F96" s="7" t="s">
        <v>27</v>
      </c>
      <c r="G96" s="8">
        <v>44969</v>
      </c>
      <c r="H96" s="7" t="s">
        <v>36</v>
      </c>
      <c r="I96" s="7" t="s">
        <v>81</v>
      </c>
      <c r="J96" s="7" t="s">
        <v>132</v>
      </c>
      <c r="K96" s="7" t="s">
        <v>77</v>
      </c>
      <c r="L96" s="9">
        <v>1000</v>
      </c>
      <c r="M96" s="9">
        <v>260</v>
      </c>
    </row>
    <row r="97" spans="1:13" ht="18" customHeight="1" x14ac:dyDescent="0.35">
      <c r="A97" s="26" t="s">
        <v>278</v>
      </c>
      <c r="B97" s="3" t="s">
        <v>279</v>
      </c>
      <c r="C97" s="3" t="str">
        <f>PROPER(TRIM(Table3[[#This Row],[Column1]]))</f>
        <v>Ilavarsi Narayanan</v>
      </c>
      <c r="D97" s="2">
        <v>55</v>
      </c>
      <c r="E97" s="2" t="s">
        <v>34</v>
      </c>
      <c r="F97" s="3" t="s">
        <v>35</v>
      </c>
      <c r="G97" s="4">
        <v>45421</v>
      </c>
      <c r="H97" s="3" t="s">
        <v>42</v>
      </c>
      <c r="I97" s="3" t="s">
        <v>70</v>
      </c>
      <c r="J97" s="3" t="s">
        <v>136</v>
      </c>
      <c r="K97" s="3" t="s">
        <v>45</v>
      </c>
      <c r="L97" s="5">
        <v>300</v>
      </c>
      <c r="M97" s="5">
        <v>250</v>
      </c>
    </row>
    <row r="98" spans="1:13" ht="18" customHeight="1" x14ac:dyDescent="0.35">
      <c r="A98" s="27" t="s">
        <v>280</v>
      </c>
      <c r="B98" s="7" t="s">
        <v>281</v>
      </c>
      <c r="C98" s="3" t="str">
        <f>PROPER(TRIM(Table3[[#This Row],[Column1]]))</f>
        <v>Jeeva Singh</v>
      </c>
      <c r="D98" s="6">
        <v>59</v>
      </c>
      <c r="E98" s="6" t="s">
        <v>34</v>
      </c>
      <c r="F98" s="7" t="s">
        <v>35</v>
      </c>
      <c r="G98" s="8">
        <v>44985</v>
      </c>
      <c r="H98" s="7" t="s">
        <v>17</v>
      </c>
      <c r="I98" s="7" t="s">
        <v>18</v>
      </c>
      <c r="J98" s="7" t="s">
        <v>65</v>
      </c>
      <c r="K98" s="7" t="s">
        <v>24</v>
      </c>
      <c r="L98" s="9">
        <v>1050</v>
      </c>
      <c r="M98" s="9">
        <v>400</v>
      </c>
    </row>
    <row r="99" spans="1:13" ht="18" customHeight="1" x14ac:dyDescent="0.35">
      <c r="A99" s="26" t="s">
        <v>282</v>
      </c>
      <c r="B99" s="3" t="s">
        <v>283</v>
      </c>
      <c r="C99" s="3" t="str">
        <f>PROPER(TRIM(Table3[[#This Row],[Column1]]))</f>
        <v>Kavi Balan</v>
      </c>
      <c r="D99" s="2">
        <v>59</v>
      </c>
      <c r="E99" s="2" t="s">
        <v>34</v>
      </c>
      <c r="F99" s="3" t="s">
        <v>16</v>
      </c>
      <c r="G99" s="4">
        <v>45224</v>
      </c>
      <c r="H99" s="3" t="s">
        <v>17</v>
      </c>
      <c r="I99" s="3" t="s">
        <v>18</v>
      </c>
      <c r="J99" s="3" t="s">
        <v>19</v>
      </c>
      <c r="K99" s="3" t="s">
        <v>20</v>
      </c>
      <c r="L99" s="5">
        <v>1000</v>
      </c>
      <c r="M99" s="5">
        <v>580</v>
      </c>
    </row>
    <row r="100" spans="1:13" ht="18" customHeight="1" x14ac:dyDescent="0.35">
      <c r="A100" s="27" t="s">
        <v>284</v>
      </c>
      <c r="B100" s="7" t="s">
        <v>285</v>
      </c>
      <c r="C100" s="3" t="str">
        <f>PROPER(TRIM(Table3[[#This Row],[Column1]]))</f>
        <v>Aarav Murugan</v>
      </c>
      <c r="D100" s="6">
        <v>19</v>
      </c>
      <c r="E100" s="6" t="s">
        <v>34</v>
      </c>
      <c r="F100" s="7" t="s">
        <v>16</v>
      </c>
      <c r="G100" s="8">
        <v>45294</v>
      </c>
      <c r="H100" s="7" t="s">
        <v>48</v>
      </c>
      <c r="I100" s="7" t="s">
        <v>54</v>
      </c>
      <c r="J100" s="7" t="s">
        <v>55</v>
      </c>
      <c r="K100" s="7" t="s">
        <v>51</v>
      </c>
      <c r="L100" s="9">
        <v>750</v>
      </c>
      <c r="M100" s="9">
        <v>260</v>
      </c>
    </row>
    <row r="101" spans="1:13" ht="18" customHeight="1" x14ac:dyDescent="0.35">
      <c r="A101" s="26" t="s">
        <v>286</v>
      </c>
      <c r="B101" s="3" t="s">
        <v>287</v>
      </c>
      <c r="C101" s="3" t="str">
        <f>PROPER(TRIM(Table3[[#This Row],[Column1]]))</f>
        <v>Bhavya Pillai</v>
      </c>
      <c r="D101" s="2">
        <v>53</v>
      </c>
      <c r="E101" s="2" t="s">
        <v>773</v>
      </c>
      <c r="F101" s="3" t="s">
        <v>16</v>
      </c>
      <c r="G101" s="4">
        <v>45524</v>
      </c>
      <c r="H101" s="3" t="s">
        <v>17</v>
      </c>
      <c r="I101" s="3" t="s">
        <v>23</v>
      </c>
      <c r="J101" s="3" t="s">
        <v>192</v>
      </c>
      <c r="K101" s="3" t="s">
        <v>148</v>
      </c>
      <c r="L101" s="5">
        <v>1200</v>
      </c>
      <c r="M101" s="5">
        <v>350</v>
      </c>
    </row>
    <row r="102" spans="1:13" ht="18" customHeight="1" x14ac:dyDescent="0.35">
      <c r="A102" s="27" t="s">
        <v>288</v>
      </c>
      <c r="B102" s="7" t="s">
        <v>289</v>
      </c>
      <c r="C102" s="3" t="str">
        <f>PROPER(TRIM(Table3[[#This Row],[Column1]]))</f>
        <v>Chirag Krishnan</v>
      </c>
      <c r="D102" s="6">
        <v>42</v>
      </c>
      <c r="E102" s="6" t="s">
        <v>15</v>
      </c>
      <c r="F102" s="7" t="s">
        <v>27</v>
      </c>
      <c r="G102" s="8">
        <v>45004</v>
      </c>
      <c r="H102" s="7" t="s">
        <v>42</v>
      </c>
      <c r="I102" s="7" t="s">
        <v>89</v>
      </c>
      <c r="J102" s="7" t="s">
        <v>71</v>
      </c>
      <c r="K102" s="7" t="s">
        <v>90</v>
      </c>
      <c r="L102" s="9">
        <v>400</v>
      </c>
      <c r="M102" s="9">
        <v>400</v>
      </c>
    </row>
    <row r="103" spans="1:13" ht="18" customHeight="1" x14ac:dyDescent="0.35">
      <c r="A103" s="26" t="s">
        <v>290</v>
      </c>
      <c r="B103" s="3" t="s">
        <v>291</v>
      </c>
      <c r="C103" s="3" t="str">
        <f>PROPER(TRIM(Table3[[#This Row],[Column1]]))</f>
        <v>Deepa Raja</v>
      </c>
      <c r="D103" s="2">
        <v>59</v>
      </c>
      <c r="E103" s="2" t="s">
        <v>34</v>
      </c>
      <c r="F103" s="3" t="s">
        <v>16</v>
      </c>
      <c r="G103" s="4">
        <v>45567</v>
      </c>
      <c r="H103" s="3" t="s">
        <v>28</v>
      </c>
      <c r="I103" s="3" t="s">
        <v>29</v>
      </c>
      <c r="J103" s="3" t="s">
        <v>60</v>
      </c>
      <c r="K103" s="3" t="s">
        <v>61</v>
      </c>
      <c r="L103" s="5">
        <v>600</v>
      </c>
      <c r="M103" s="5">
        <v>190</v>
      </c>
    </row>
    <row r="104" spans="1:13" ht="18" customHeight="1" x14ac:dyDescent="0.35">
      <c r="A104" s="27" t="s">
        <v>292</v>
      </c>
      <c r="B104" s="7" t="s">
        <v>293</v>
      </c>
      <c r="C104" s="3" t="str">
        <f>PROPER(TRIM(Table3[[#This Row],[Column1]]))</f>
        <v>Elan Chandran</v>
      </c>
      <c r="D104" s="6">
        <v>72</v>
      </c>
      <c r="E104" s="6" t="s">
        <v>34</v>
      </c>
      <c r="F104" s="7" t="s">
        <v>27</v>
      </c>
      <c r="G104" s="8">
        <v>45040</v>
      </c>
      <c r="H104" s="7" t="s">
        <v>28</v>
      </c>
      <c r="I104" s="7" t="s">
        <v>122</v>
      </c>
      <c r="J104" s="7" t="s">
        <v>30</v>
      </c>
      <c r="K104" s="7" t="s">
        <v>61</v>
      </c>
      <c r="L104" s="9">
        <v>550</v>
      </c>
      <c r="M104" s="9">
        <v>90</v>
      </c>
    </row>
    <row r="105" spans="1:13" ht="18" customHeight="1" x14ac:dyDescent="0.35">
      <c r="A105" s="26" t="s">
        <v>294</v>
      </c>
      <c r="B105" s="3" t="s">
        <v>295</v>
      </c>
      <c r="C105" s="3" t="str">
        <f>PROPER(TRIM(Table3[[#This Row],[Column1]]))</f>
        <v>Fatima Sharma</v>
      </c>
      <c r="D105" s="2">
        <v>10</v>
      </c>
      <c r="E105" s="2" t="s">
        <v>15</v>
      </c>
      <c r="F105" s="3" t="s">
        <v>16</v>
      </c>
      <c r="G105" s="4">
        <v>45188</v>
      </c>
      <c r="H105" s="3" t="s">
        <v>48</v>
      </c>
      <c r="I105" s="3" t="s">
        <v>93</v>
      </c>
      <c r="J105" s="3" t="s">
        <v>50</v>
      </c>
      <c r="K105" s="3" t="s">
        <v>56</v>
      </c>
      <c r="L105" s="5">
        <v>750</v>
      </c>
      <c r="M105" s="5">
        <v>450</v>
      </c>
    </row>
    <row r="106" spans="1:13" ht="18" customHeight="1" x14ac:dyDescent="0.35">
      <c r="A106" s="27" t="s">
        <v>296</v>
      </c>
      <c r="B106" s="7" t="s">
        <v>297</v>
      </c>
      <c r="C106" s="3" t="str">
        <f>PROPER(TRIM(Table3[[#This Row],[Column1]]))</f>
        <v>Ganesh Pillai</v>
      </c>
      <c r="D106" s="6">
        <v>29</v>
      </c>
      <c r="E106" s="6" t="s">
        <v>15</v>
      </c>
      <c r="F106" s="7" t="s">
        <v>35</v>
      </c>
      <c r="G106" s="8">
        <v>45163</v>
      </c>
      <c r="H106" s="7" t="s">
        <v>28</v>
      </c>
      <c r="I106" s="7" t="s">
        <v>122</v>
      </c>
      <c r="J106" s="7" t="s">
        <v>123</v>
      </c>
      <c r="K106" s="7" t="s">
        <v>298</v>
      </c>
      <c r="L106" s="9">
        <v>650</v>
      </c>
      <c r="M106" s="9">
        <v>140</v>
      </c>
    </row>
    <row r="107" spans="1:13" ht="18" customHeight="1" x14ac:dyDescent="0.35">
      <c r="A107" s="26" t="s">
        <v>299</v>
      </c>
      <c r="B107" s="3" t="s">
        <v>300</v>
      </c>
      <c r="C107" s="3" t="str">
        <f>PROPER(TRIM(Table3[[#This Row],[Column1]]))</f>
        <v>Heena Vel</v>
      </c>
      <c r="D107" s="2">
        <v>74</v>
      </c>
      <c r="E107" s="2" t="s">
        <v>772</v>
      </c>
      <c r="F107" s="3" t="s">
        <v>35</v>
      </c>
      <c r="G107" s="4">
        <v>45589</v>
      </c>
      <c r="H107" s="3" t="s">
        <v>48</v>
      </c>
      <c r="I107" s="3" t="s">
        <v>54</v>
      </c>
      <c r="J107" s="3" t="s">
        <v>94</v>
      </c>
      <c r="K107" s="3" t="s">
        <v>51</v>
      </c>
      <c r="L107" s="5">
        <v>750</v>
      </c>
      <c r="M107" s="5">
        <v>300</v>
      </c>
    </row>
    <row r="108" spans="1:13" ht="18" customHeight="1" x14ac:dyDescent="0.35">
      <c r="A108" s="27" t="s">
        <v>301</v>
      </c>
      <c r="B108" s="7" t="s">
        <v>302</v>
      </c>
      <c r="C108" s="3" t="str">
        <f>PROPER(TRIM(Table3[[#This Row],[Column1]]))</f>
        <v>Ishaan Raja</v>
      </c>
      <c r="D108" s="6">
        <v>29</v>
      </c>
      <c r="E108" s="6" t="s">
        <v>15</v>
      </c>
      <c r="F108" s="7" t="s">
        <v>16</v>
      </c>
      <c r="G108" s="8">
        <v>44967</v>
      </c>
      <c r="H108" s="7" t="s">
        <v>42</v>
      </c>
      <c r="I108" s="7" t="s">
        <v>89</v>
      </c>
      <c r="J108" s="7" t="s">
        <v>85</v>
      </c>
      <c r="K108" s="7" t="s">
        <v>90</v>
      </c>
      <c r="L108" s="9">
        <v>350</v>
      </c>
      <c r="M108" s="9">
        <v>330</v>
      </c>
    </row>
    <row r="109" spans="1:13" ht="18" customHeight="1" x14ac:dyDescent="0.35">
      <c r="A109" s="26" t="s">
        <v>303</v>
      </c>
      <c r="B109" s="3" t="s">
        <v>304</v>
      </c>
      <c r="C109" s="3" t="str">
        <f>PROPER(TRIM(Table3[[#This Row],[Column1]]))</f>
        <v>Jasmine Pandian</v>
      </c>
      <c r="D109" s="2">
        <v>55</v>
      </c>
      <c r="E109" s="2" t="s">
        <v>34</v>
      </c>
      <c r="F109" s="3" t="s">
        <v>35</v>
      </c>
      <c r="G109" s="4">
        <v>45524</v>
      </c>
      <c r="H109" s="3" t="s">
        <v>17</v>
      </c>
      <c r="I109" s="3" t="s">
        <v>18</v>
      </c>
      <c r="J109" s="3" t="s">
        <v>192</v>
      </c>
      <c r="K109" s="3" t="s">
        <v>20</v>
      </c>
      <c r="L109" s="5">
        <v>950</v>
      </c>
      <c r="M109" s="5">
        <v>900</v>
      </c>
    </row>
    <row r="110" spans="1:13" ht="18" customHeight="1" x14ac:dyDescent="0.35">
      <c r="A110" s="27" t="s">
        <v>305</v>
      </c>
      <c r="B110" s="7" t="s">
        <v>306</v>
      </c>
      <c r="C110" s="3" t="str">
        <f>PROPER(TRIM(Table3[[#This Row],[Column1]]))</f>
        <v>Karthik Vel</v>
      </c>
      <c r="D110" s="6">
        <v>31</v>
      </c>
      <c r="E110" s="6" t="s">
        <v>34</v>
      </c>
      <c r="F110" s="7" t="s">
        <v>16</v>
      </c>
      <c r="G110" s="8">
        <v>45459</v>
      </c>
      <c r="H110" s="7" t="s">
        <v>36</v>
      </c>
      <c r="I110" s="7" t="s">
        <v>37</v>
      </c>
      <c r="J110" s="7" t="s">
        <v>104</v>
      </c>
      <c r="K110" s="7" t="s">
        <v>77</v>
      </c>
      <c r="L110" s="9">
        <v>950</v>
      </c>
      <c r="M110" s="9">
        <v>330</v>
      </c>
    </row>
    <row r="111" spans="1:13" ht="18" customHeight="1" x14ac:dyDescent="0.35">
      <c r="A111" s="26" t="s">
        <v>307</v>
      </c>
      <c r="B111" s="3" t="s">
        <v>308</v>
      </c>
      <c r="C111" s="3" t="str">
        <f>PROPER(TRIM(Table3[[#This Row],[Column1]]))</f>
        <v>Lavanya Pillai</v>
      </c>
      <c r="D111" s="2">
        <v>54</v>
      </c>
      <c r="E111" s="2" t="s">
        <v>34</v>
      </c>
      <c r="F111" s="3" t="s">
        <v>16</v>
      </c>
      <c r="G111" s="4">
        <v>45510</v>
      </c>
      <c r="H111" s="3" t="s">
        <v>48</v>
      </c>
      <c r="I111" s="3" t="s">
        <v>49</v>
      </c>
      <c r="J111" s="3" t="s">
        <v>55</v>
      </c>
      <c r="K111" s="3" t="s">
        <v>95</v>
      </c>
      <c r="L111" s="5">
        <v>850</v>
      </c>
      <c r="M111" s="5">
        <v>470</v>
      </c>
    </row>
    <row r="112" spans="1:13" ht="18" customHeight="1" x14ac:dyDescent="0.35">
      <c r="A112" s="27" t="s">
        <v>309</v>
      </c>
      <c r="B112" s="7" t="s">
        <v>310</v>
      </c>
      <c r="C112" s="3" t="str">
        <f>PROPER(TRIM(Table3[[#This Row],[Column1]]))</f>
        <v>Mohan Pandian</v>
      </c>
      <c r="D112" s="6">
        <v>68</v>
      </c>
      <c r="E112" s="6" t="s">
        <v>34</v>
      </c>
      <c r="F112" s="7" t="s">
        <v>27</v>
      </c>
      <c r="G112" s="8">
        <v>45082</v>
      </c>
      <c r="H112" s="7" t="s">
        <v>17</v>
      </c>
      <c r="I112" s="7" t="s">
        <v>18</v>
      </c>
      <c r="J112" s="7" t="s">
        <v>19</v>
      </c>
      <c r="K112" s="7" t="s">
        <v>24</v>
      </c>
      <c r="L112" s="9">
        <v>850</v>
      </c>
      <c r="M112" s="9">
        <v>420</v>
      </c>
    </row>
    <row r="113" spans="1:13" ht="18" customHeight="1" x14ac:dyDescent="0.35">
      <c r="A113" s="26" t="s">
        <v>311</v>
      </c>
      <c r="B113" s="3" t="s">
        <v>312</v>
      </c>
      <c r="C113" s="3" t="str">
        <f>PROPER(TRIM(Table3[[#This Row],[Column1]]))</f>
        <v>Nisha Subramanian</v>
      </c>
      <c r="D113" s="2">
        <v>41</v>
      </c>
      <c r="E113" s="2" t="s">
        <v>15</v>
      </c>
      <c r="F113" s="3" t="s">
        <v>107</v>
      </c>
      <c r="G113" s="4">
        <v>45237</v>
      </c>
      <c r="H113" s="3" t="s">
        <v>17</v>
      </c>
      <c r="I113" s="3" t="s">
        <v>23</v>
      </c>
      <c r="J113" s="3" t="s">
        <v>19</v>
      </c>
      <c r="K113" s="3" t="s">
        <v>20</v>
      </c>
      <c r="L113" s="5">
        <v>750</v>
      </c>
      <c r="M113" s="5">
        <v>890</v>
      </c>
    </row>
    <row r="114" spans="1:13" ht="18" customHeight="1" x14ac:dyDescent="0.35">
      <c r="A114" s="27" t="s">
        <v>313</v>
      </c>
      <c r="B114" s="7" t="s">
        <v>314</v>
      </c>
      <c r="C114" s="3" t="str">
        <f>PROPER(TRIM(Table3[[#This Row],[Column1]]))</f>
        <v>Omkar Nair</v>
      </c>
      <c r="D114" s="6">
        <v>4</v>
      </c>
      <c r="E114" s="6" t="s">
        <v>15</v>
      </c>
      <c r="F114" s="7" t="s">
        <v>69</v>
      </c>
      <c r="G114" s="8">
        <v>44984</v>
      </c>
      <c r="H114" s="7" t="s">
        <v>17</v>
      </c>
      <c r="I114" s="7" t="s">
        <v>18</v>
      </c>
      <c r="J114" s="7" t="s">
        <v>147</v>
      </c>
      <c r="K114" s="7" t="s">
        <v>226</v>
      </c>
      <c r="L114" s="9">
        <v>900</v>
      </c>
      <c r="M114" s="9">
        <v>370</v>
      </c>
    </row>
    <row r="115" spans="1:13" ht="18" customHeight="1" x14ac:dyDescent="0.35">
      <c r="A115" s="26" t="s">
        <v>315</v>
      </c>
      <c r="B115" s="3" t="s">
        <v>316</v>
      </c>
      <c r="C115" s="3" t="str">
        <f>PROPER(TRIM(Table3[[#This Row],[Column1]]))</f>
        <v>Preethi Nair</v>
      </c>
      <c r="D115" s="2">
        <v>53</v>
      </c>
      <c r="E115" s="2" t="s">
        <v>15</v>
      </c>
      <c r="F115" s="3" t="s">
        <v>80</v>
      </c>
      <c r="G115" s="4">
        <v>45114</v>
      </c>
      <c r="H115" s="3" t="s">
        <v>36</v>
      </c>
      <c r="I115" s="3" t="s">
        <v>75</v>
      </c>
      <c r="J115" s="3" t="s">
        <v>76</v>
      </c>
      <c r="K115" s="3" t="s">
        <v>133</v>
      </c>
      <c r="L115" s="5">
        <v>900</v>
      </c>
      <c r="M115" s="5">
        <v>540</v>
      </c>
    </row>
    <row r="116" spans="1:13" ht="18" customHeight="1" x14ac:dyDescent="0.35">
      <c r="A116" s="27" t="s">
        <v>317</v>
      </c>
      <c r="B116" s="7" t="s">
        <v>318</v>
      </c>
      <c r="C116" s="3" t="str">
        <f>PROPER(TRIM(Table3[[#This Row],[Column1]]))</f>
        <v>Qasim Nair</v>
      </c>
      <c r="D116" s="6">
        <v>25</v>
      </c>
      <c r="E116" s="6" t="s">
        <v>15</v>
      </c>
      <c r="F116" s="7" t="s">
        <v>80</v>
      </c>
      <c r="G116" s="8">
        <v>45323</v>
      </c>
      <c r="H116" s="7" t="s">
        <v>36</v>
      </c>
      <c r="I116" s="7" t="s">
        <v>75</v>
      </c>
      <c r="J116" s="7" t="s">
        <v>76</v>
      </c>
      <c r="K116" s="7" t="s">
        <v>133</v>
      </c>
      <c r="L116" s="9">
        <v>650</v>
      </c>
      <c r="M116" s="9">
        <v>500</v>
      </c>
    </row>
    <row r="117" spans="1:13" ht="18" customHeight="1" x14ac:dyDescent="0.35">
      <c r="A117" s="26" t="s">
        <v>319</v>
      </c>
      <c r="B117" s="3" t="s">
        <v>320</v>
      </c>
      <c r="C117" s="3" t="str">
        <f>PROPER(TRIM(Table3[[#This Row],[Column1]]))</f>
        <v>Rekha Pillai</v>
      </c>
      <c r="D117" s="2">
        <v>43</v>
      </c>
      <c r="E117" s="2" t="s">
        <v>15</v>
      </c>
      <c r="F117" s="3" t="s">
        <v>27</v>
      </c>
      <c r="G117" s="4">
        <v>44975</v>
      </c>
      <c r="H117" s="3" t="s">
        <v>36</v>
      </c>
      <c r="I117" s="3" t="s">
        <v>75</v>
      </c>
      <c r="J117" s="3" t="s">
        <v>76</v>
      </c>
      <c r="K117" s="3" t="s">
        <v>82</v>
      </c>
      <c r="L117" s="5">
        <v>850</v>
      </c>
      <c r="M117" s="5">
        <v>310</v>
      </c>
    </row>
    <row r="118" spans="1:13" ht="18" customHeight="1" x14ac:dyDescent="0.35">
      <c r="A118" s="27" t="s">
        <v>321</v>
      </c>
      <c r="B118" s="7" t="s">
        <v>322</v>
      </c>
      <c r="C118" s="3" t="str">
        <f>PROPER(TRIM(Table3[[#This Row],[Column1]]))</f>
        <v>Sanjay Verma</v>
      </c>
      <c r="D118" s="6">
        <v>65</v>
      </c>
      <c r="E118" s="6" t="s">
        <v>34</v>
      </c>
      <c r="F118" s="7" t="s">
        <v>69</v>
      </c>
      <c r="G118" s="8">
        <v>45294</v>
      </c>
      <c r="H118" s="7" t="s">
        <v>42</v>
      </c>
      <c r="I118" s="7" t="s">
        <v>70</v>
      </c>
      <c r="J118" s="7" t="s">
        <v>110</v>
      </c>
      <c r="K118" s="7" t="s">
        <v>197</v>
      </c>
      <c r="L118" s="9">
        <v>450</v>
      </c>
      <c r="M118" s="9">
        <v>130</v>
      </c>
    </row>
    <row r="119" spans="1:13" ht="18" customHeight="1" x14ac:dyDescent="0.35">
      <c r="A119" s="26" t="s">
        <v>323</v>
      </c>
      <c r="B119" s="3" t="s">
        <v>324</v>
      </c>
      <c r="C119" s="3" t="str">
        <f>PROPER(TRIM(Table3[[#This Row],[Column1]]))</f>
        <v>Tanya Iyer</v>
      </c>
      <c r="D119" s="2">
        <v>49</v>
      </c>
      <c r="E119" s="2" t="s">
        <v>15</v>
      </c>
      <c r="F119" s="3" t="s">
        <v>69</v>
      </c>
      <c r="G119" s="4">
        <v>44974</v>
      </c>
      <c r="H119" s="3" t="s">
        <v>42</v>
      </c>
      <c r="I119" s="3" t="s">
        <v>70</v>
      </c>
      <c r="J119" s="3" t="s">
        <v>110</v>
      </c>
      <c r="K119" s="3" t="s">
        <v>129</v>
      </c>
      <c r="L119" s="5">
        <v>450</v>
      </c>
      <c r="M119" s="5">
        <v>170</v>
      </c>
    </row>
    <row r="120" spans="1:13" ht="18" customHeight="1" x14ac:dyDescent="0.35">
      <c r="A120" s="27" t="s">
        <v>325</v>
      </c>
      <c r="B120" s="7" t="s">
        <v>326</v>
      </c>
      <c r="C120" s="3" t="str">
        <f>PROPER(TRIM(Table3[[#This Row],[Column1]]))</f>
        <v>Uday Iyer</v>
      </c>
      <c r="D120" s="6">
        <v>4</v>
      </c>
      <c r="E120" s="6" t="s">
        <v>15</v>
      </c>
      <c r="F120" s="7" t="s">
        <v>80</v>
      </c>
      <c r="G120" s="8">
        <v>45248</v>
      </c>
      <c r="H120" s="7" t="s">
        <v>42</v>
      </c>
      <c r="I120" s="7" t="s">
        <v>70</v>
      </c>
      <c r="J120" s="7" t="s">
        <v>110</v>
      </c>
      <c r="K120" s="7" t="s">
        <v>119</v>
      </c>
      <c r="L120" s="9">
        <v>400</v>
      </c>
      <c r="M120" s="9">
        <v>240</v>
      </c>
    </row>
    <row r="121" spans="1:13" ht="18" customHeight="1" x14ac:dyDescent="0.35">
      <c r="A121" s="26" t="s">
        <v>327</v>
      </c>
      <c r="B121" s="3" t="s">
        <v>328</v>
      </c>
      <c r="C121" s="3" t="str">
        <f>PROPER(TRIM(Table3[[#This Row],[Column1]]))</f>
        <v>Vimala Subramanian</v>
      </c>
      <c r="D121" s="2">
        <v>62</v>
      </c>
      <c r="E121" s="2" t="s">
        <v>15</v>
      </c>
      <c r="F121" s="3" t="s">
        <v>16</v>
      </c>
      <c r="G121" s="4">
        <v>45638</v>
      </c>
      <c r="H121" s="3" t="s">
        <v>48</v>
      </c>
      <c r="I121" s="3" t="s">
        <v>49</v>
      </c>
      <c r="J121" s="3" t="s">
        <v>50</v>
      </c>
      <c r="K121" s="3" t="s">
        <v>56</v>
      </c>
      <c r="L121" s="5">
        <v>650</v>
      </c>
      <c r="M121" s="5">
        <v>440</v>
      </c>
    </row>
    <row r="122" spans="1:13" ht="18" customHeight="1" x14ac:dyDescent="0.35">
      <c r="A122" s="27" t="s">
        <v>329</v>
      </c>
      <c r="B122" s="7" t="s">
        <v>330</v>
      </c>
      <c r="C122" s="3" t="str">
        <f>PROPER(TRIM(Table3[[#This Row],[Column1]]))</f>
        <v>Wasim Pillai</v>
      </c>
      <c r="D122" s="6">
        <v>11</v>
      </c>
      <c r="E122" s="6" t="s">
        <v>34</v>
      </c>
      <c r="F122" s="7" t="s">
        <v>69</v>
      </c>
      <c r="G122" s="8">
        <v>45576</v>
      </c>
      <c r="H122" s="7" t="s">
        <v>36</v>
      </c>
      <c r="I122" s="7" t="s">
        <v>37</v>
      </c>
      <c r="J122" s="7" t="s">
        <v>76</v>
      </c>
      <c r="K122" s="7" t="s">
        <v>133</v>
      </c>
      <c r="L122" s="9">
        <v>700</v>
      </c>
      <c r="M122" s="9">
        <v>390</v>
      </c>
    </row>
    <row r="123" spans="1:13" ht="18" customHeight="1" x14ac:dyDescent="0.35">
      <c r="A123" s="26" t="s">
        <v>331</v>
      </c>
      <c r="B123" s="3" t="s">
        <v>332</v>
      </c>
      <c r="C123" s="3" t="str">
        <f>PROPER(TRIM(Table3[[#This Row],[Column1]]))</f>
        <v>Xena Menon</v>
      </c>
      <c r="D123" s="2">
        <v>13</v>
      </c>
      <c r="E123" s="2" t="s">
        <v>34</v>
      </c>
      <c r="F123" s="3" t="s">
        <v>16</v>
      </c>
      <c r="G123" s="4">
        <v>45243</v>
      </c>
      <c r="H123" s="3" t="s">
        <v>28</v>
      </c>
      <c r="I123" s="3" t="s">
        <v>29</v>
      </c>
      <c r="J123" s="3" t="s">
        <v>174</v>
      </c>
      <c r="K123" s="3" t="s">
        <v>31</v>
      </c>
      <c r="L123" s="5">
        <v>550</v>
      </c>
      <c r="M123" s="5">
        <v>200</v>
      </c>
    </row>
    <row r="124" spans="1:13" ht="18" customHeight="1" x14ac:dyDescent="0.35">
      <c r="A124" s="27" t="s">
        <v>333</v>
      </c>
      <c r="B124" s="7" t="s">
        <v>334</v>
      </c>
      <c r="C124" s="3" t="str">
        <f>PROPER(TRIM(Table3[[#This Row],[Column1]]))</f>
        <v>Yogesh Balan</v>
      </c>
      <c r="D124" s="6">
        <v>20</v>
      </c>
      <c r="E124" s="6" t="s">
        <v>34</v>
      </c>
      <c r="F124" s="7" t="s">
        <v>35</v>
      </c>
      <c r="G124" s="8">
        <v>45637</v>
      </c>
      <c r="H124" s="7" t="s">
        <v>42</v>
      </c>
      <c r="I124" s="7" t="s">
        <v>43</v>
      </c>
      <c r="J124" s="7" t="s">
        <v>85</v>
      </c>
      <c r="K124" s="7" t="s">
        <v>72</v>
      </c>
      <c r="L124" s="9">
        <v>450</v>
      </c>
      <c r="M124" s="9">
        <v>290</v>
      </c>
    </row>
    <row r="125" spans="1:13" ht="18" customHeight="1" x14ac:dyDescent="0.35">
      <c r="A125" s="26" t="s">
        <v>335</v>
      </c>
      <c r="B125" s="3" t="s">
        <v>336</v>
      </c>
      <c r="C125" s="3" t="str">
        <f>PROPER(TRIM(Table3[[#This Row],[Column1]]))</f>
        <v>Zara Patel</v>
      </c>
      <c r="D125" s="2">
        <v>21</v>
      </c>
      <c r="E125" s="2" t="s">
        <v>15</v>
      </c>
      <c r="F125" s="3" t="s">
        <v>35</v>
      </c>
      <c r="G125" s="4">
        <v>45124</v>
      </c>
      <c r="H125" s="3" t="s">
        <v>36</v>
      </c>
      <c r="I125" s="3" t="s">
        <v>81</v>
      </c>
      <c r="J125" s="3" t="s">
        <v>38</v>
      </c>
      <c r="K125" s="3" t="s">
        <v>39</v>
      </c>
      <c r="L125" s="5">
        <v>800</v>
      </c>
      <c r="M125" s="5">
        <v>630</v>
      </c>
    </row>
    <row r="126" spans="1:13" ht="18" customHeight="1" x14ac:dyDescent="0.35">
      <c r="A126" s="27" t="s">
        <v>337</v>
      </c>
      <c r="B126" s="7" t="s">
        <v>338</v>
      </c>
      <c r="C126" s="3" t="str">
        <f>PROPER(TRIM(Table3[[#This Row],[Column1]]))</f>
        <v>Arjun Chandran</v>
      </c>
      <c r="D126" s="6">
        <v>34</v>
      </c>
      <c r="E126" s="6" t="s">
        <v>15</v>
      </c>
      <c r="F126" s="7" t="s">
        <v>80</v>
      </c>
      <c r="G126" s="8">
        <v>45155</v>
      </c>
      <c r="H126" s="7" t="s">
        <v>48</v>
      </c>
      <c r="I126" s="7" t="s">
        <v>54</v>
      </c>
      <c r="J126" s="7" t="s">
        <v>151</v>
      </c>
      <c r="K126" s="7" t="s">
        <v>141</v>
      </c>
      <c r="L126" s="9">
        <v>750</v>
      </c>
      <c r="M126" s="9">
        <v>310</v>
      </c>
    </row>
    <row r="127" spans="1:13" ht="18" customHeight="1" x14ac:dyDescent="0.35">
      <c r="A127" s="26" t="s">
        <v>339</v>
      </c>
      <c r="B127" s="3" t="s">
        <v>340</v>
      </c>
      <c r="C127" s="3" t="str">
        <f>PROPER(TRIM(Table3[[#This Row],[Column1]]))</f>
        <v>Bhanu Rao</v>
      </c>
      <c r="D127" s="2">
        <v>18</v>
      </c>
      <c r="E127" s="2" t="s">
        <v>34</v>
      </c>
      <c r="F127" s="3" t="s">
        <v>16</v>
      </c>
      <c r="G127" s="4">
        <v>45078</v>
      </c>
      <c r="H127" s="3" t="s">
        <v>17</v>
      </c>
      <c r="I127" s="3" t="s">
        <v>64</v>
      </c>
      <c r="J127" s="3" t="s">
        <v>65</v>
      </c>
      <c r="K127" s="3" t="s">
        <v>24</v>
      </c>
      <c r="L127" s="5">
        <v>900</v>
      </c>
      <c r="M127" s="5">
        <v>490</v>
      </c>
    </row>
    <row r="128" spans="1:13" ht="18" customHeight="1" x14ac:dyDescent="0.35">
      <c r="A128" s="27" t="s">
        <v>341</v>
      </c>
      <c r="B128" s="7" t="s">
        <v>342</v>
      </c>
      <c r="C128" s="3" t="str">
        <f>PROPER(TRIM(Table3[[#This Row],[Column1]]))</f>
        <v>Chitra Singh</v>
      </c>
      <c r="D128" s="6">
        <v>27</v>
      </c>
      <c r="E128" s="6" t="s">
        <v>15</v>
      </c>
      <c r="F128" s="7" t="s">
        <v>16</v>
      </c>
      <c r="G128" s="8">
        <v>45633</v>
      </c>
      <c r="H128" s="7" t="s">
        <v>17</v>
      </c>
      <c r="I128" s="7" t="s">
        <v>18</v>
      </c>
      <c r="J128" s="7" t="s">
        <v>147</v>
      </c>
      <c r="K128" s="7" t="s">
        <v>24</v>
      </c>
      <c r="L128" s="9">
        <v>950</v>
      </c>
      <c r="M128" s="9">
        <v>730</v>
      </c>
    </row>
    <row r="129" spans="1:13" ht="18" customHeight="1" x14ac:dyDescent="0.35">
      <c r="A129" s="26" t="s">
        <v>343</v>
      </c>
      <c r="B129" s="3" t="s">
        <v>344</v>
      </c>
      <c r="C129" s="3" t="str">
        <f>PROPER(TRIM(Table3[[#This Row],[Column1]]))</f>
        <v>Dinesh Nair</v>
      </c>
      <c r="D129" s="2">
        <v>23</v>
      </c>
      <c r="E129" s="2" t="s">
        <v>34</v>
      </c>
      <c r="F129" s="3" t="s">
        <v>69</v>
      </c>
      <c r="G129" s="4">
        <v>45636</v>
      </c>
      <c r="H129" s="3" t="s">
        <v>17</v>
      </c>
      <c r="I129" s="3" t="s">
        <v>64</v>
      </c>
      <c r="J129" s="3" t="s">
        <v>19</v>
      </c>
      <c r="K129" s="3" t="s">
        <v>148</v>
      </c>
      <c r="L129" s="5">
        <v>1000</v>
      </c>
      <c r="M129" s="5">
        <v>550</v>
      </c>
    </row>
    <row r="130" spans="1:13" ht="18" customHeight="1" x14ac:dyDescent="0.35">
      <c r="A130" s="27" t="s">
        <v>345</v>
      </c>
      <c r="B130" s="7" t="s">
        <v>346</v>
      </c>
      <c r="C130" s="3" t="str">
        <f>PROPER(TRIM(Table3[[#This Row],[Column1]]))</f>
        <v>Esha Krishnan</v>
      </c>
      <c r="D130" s="6">
        <v>6</v>
      </c>
      <c r="E130" s="6" t="s">
        <v>34</v>
      </c>
      <c r="F130" s="7" t="s">
        <v>35</v>
      </c>
      <c r="G130" s="8">
        <v>45653</v>
      </c>
      <c r="H130" s="7" t="s">
        <v>42</v>
      </c>
      <c r="I130" s="7" t="s">
        <v>70</v>
      </c>
      <c r="J130" s="7" t="s">
        <v>44</v>
      </c>
      <c r="K130" s="7" t="s">
        <v>197</v>
      </c>
      <c r="L130" s="9">
        <v>350</v>
      </c>
      <c r="M130" s="9">
        <v>160</v>
      </c>
    </row>
    <row r="131" spans="1:13" ht="18" customHeight="1" x14ac:dyDescent="0.35">
      <c r="A131" s="26" t="s">
        <v>347</v>
      </c>
      <c r="B131" s="3" t="s">
        <v>348</v>
      </c>
      <c r="C131" s="3" t="str">
        <f>PROPER(TRIM(Table3[[#This Row],[Column1]]))</f>
        <v>Farhan Iyer</v>
      </c>
      <c r="D131" s="2">
        <v>60</v>
      </c>
      <c r="E131" s="2" t="s">
        <v>34</v>
      </c>
      <c r="F131" s="3" t="s">
        <v>69</v>
      </c>
      <c r="G131" s="4">
        <v>45035</v>
      </c>
      <c r="H131" s="3" t="s">
        <v>17</v>
      </c>
      <c r="I131" s="3" t="s">
        <v>23</v>
      </c>
      <c r="J131" s="3" t="s">
        <v>192</v>
      </c>
      <c r="K131" s="3" t="s">
        <v>148</v>
      </c>
      <c r="L131" s="5">
        <v>1150</v>
      </c>
      <c r="M131" s="5">
        <v>480</v>
      </c>
    </row>
    <row r="132" spans="1:13" ht="18" customHeight="1" x14ac:dyDescent="0.35">
      <c r="A132" s="27" t="s">
        <v>349</v>
      </c>
      <c r="B132" s="7" t="s">
        <v>350</v>
      </c>
      <c r="C132" s="3" t="str">
        <f>PROPER(TRIM(Table3[[#This Row],[Column1]]))</f>
        <v>Geetha Mani</v>
      </c>
      <c r="D132" s="6">
        <v>61</v>
      </c>
      <c r="E132" s="6" t="s">
        <v>15</v>
      </c>
      <c r="F132" s="7" t="s">
        <v>35</v>
      </c>
      <c r="G132" s="8">
        <v>45282</v>
      </c>
      <c r="H132" s="7" t="s">
        <v>17</v>
      </c>
      <c r="I132" s="7" t="s">
        <v>18</v>
      </c>
      <c r="J132" s="7" t="s">
        <v>147</v>
      </c>
      <c r="K132" s="7" t="s">
        <v>226</v>
      </c>
      <c r="L132" s="9">
        <v>900</v>
      </c>
      <c r="M132" s="9">
        <v>410</v>
      </c>
    </row>
    <row r="133" spans="1:13" ht="18" customHeight="1" x14ac:dyDescent="0.35">
      <c r="A133" s="26" t="s">
        <v>351</v>
      </c>
      <c r="B133" s="3" t="s">
        <v>352</v>
      </c>
      <c r="C133" s="3" t="str">
        <f>PROPER(TRIM(Table3[[#This Row],[Column1]]))</f>
        <v>Harish Reddy</v>
      </c>
      <c r="D133" s="2">
        <v>13</v>
      </c>
      <c r="E133" s="2" t="s">
        <v>34</v>
      </c>
      <c r="F133" s="3" t="s">
        <v>27</v>
      </c>
      <c r="G133" s="4">
        <v>45204</v>
      </c>
      <c r="H133" s="3" t="s">
        <v>17</v>
      </c>
      <c r="I133" s="3" t="s">
        <v>23</v>
      </c>
      <c r="J133" s="3" t="s">
        <v>154</v>
      </c>
      <c r="K133" s="3" t="s">
        <v>24</v>
      </c>
      <c r="L133" s="5">
        <v>1150</v>
      </c>
      <c r="M133" s="5">
        <v>360</v>
      </c>
    </row>
    <row r="134" spans="1:13" ht="18" customHeight="1" x14ac:dyDescent="0.35">
      <c r="A134" s="27" t="s">
        <v>353</v>
      </c>
      <c r="B134" s="7" t="s">
        <v>354</v>
      </c>
      <c r="C134" s="3" t="str">
        <f>PROPER(TRIM(Table3[[#This Row],[Column1]]))</f>
        <v>Indira Rajan</v>
      </c>
      <c r="D134" s="6">
        <v>35</v>
      </c>
      <c r="E134" s="6" t="s">
        <v>34</v>
      </c>
      <c r="F134" s="7" t="s">
        <v>16</v>
      </c>
      <c r="G134" s="8">
        <v>45062</v>
      </c>
      <c r="H134" s="7" t="s">
        <v>36</v>
      </c>
      <c r="I134" s="7" t="s">
        <v>37</v>
      </c>
      <c r="J134" s="7" t="s">
        <v>144</v>
      </c>
      <c r="K134" s="7" t="s">
        <v>77</v>
      </c>
      <c r="L134" s="9">
        <v>800</v>
      </c>
      <c r="M134" s="9">
        <v>530</v>
      </c>
    </row>
    <row r="135" spans="1:13" ht="18" customHeight="1" x14ac:dyDescent="0.35">
      <c r="A135" s="26" t="s">
        <v>355</v>
      </c>
      <c r="B135" s="3" t="s">
        <v>356</v>
      </c>
      <c r="C135" s="3" t="str">
        <f>PROPER(TRIM(Table3[[#This Row],[Column1]]))</f>
        <v>Jaya Verma</v>
      </c>
      <c r="D135" s="2">
        <v>28</v>
      </c>
      <c r="E135" s="2" t="s">
        <v>15</v>
      </c>
      <c r="F135" s="3" t="s">
        <v>27</v>
      </c>
      <c r="G135" s="4">
        <v>45617</v>
      </c>
      <c r="H135" s="3" t="s">
        <v>17</v>
      </c>
      <c r="I135" s="3" t="s">
        <v>18</v>
      </c>
      <c r="J135" s="3" t="s">
        <v>192</v>
      </c>
      <c r="K135" s="3" t="s">
        <v>148</v>
      </c>
      <c r="L135" s="5">
        <v>800</v>
      </c>
      <c r="M135" s="5">
        <v>750</v>
      </c>
    </row>
    <row r="136" spans="1:13" ht="18" customHeight="1" x14ac:dyDescent="0.35">
      <c r="A136" s="27" t="s">
        <v>357</v>
      </c>
      <c r="B136" s="7" t="s">
        <v>358</v>
      </c>
      <c r="C136" s="3" t="str">
        <f>PROPER(TRIM(Table3[[#This Row],[Column1]]))</f>
        <v>Kiran Kumar</v>
      </c>
      <c r="D136" s="6">
        <v>77</v>
      </c>
      <c r="E136" s="6" t="s">
        <v>15</v>
      </c>
      <c r="F136" s="7" t="s">
        <v>16</v>
      </c>
      <c r="G136" s="8">
        <v>45639</v>
      </c>
      <c r="H136" s="7" t="s">
        <v>28</v>
      </c>
      <c r="I136" s="7" t="s">
        <v>29</v>
      </c>
      <c r="J136" s="7" t="s">
        <v>60</v>
      </c>
      <c r="K136" s="7" t="s">
        <v>111</v>
      </c>
      <c r="L136" s="9">
        <v>400</v>
      </c>
      <c r="M136" s="9">
        <v>270</v>
      </c>
    </row>
    <row r="137" spans="1:13" ht="18" customHeight="1" x14ac:dyDescent="0.35">
      <c r="A137" s="26" t="s">
        <v>359</v>
      </c>
      <c r="B137" s="3" t="s">
        <v>360</v>
      </c>
      <c r="C137" s="3" t="str">
        <f>PROPER(TRIM(Table3[[#This Row],[Column1]]))</f>
        <v>Latha Devi</v>
      </c>
      <c r="D137" s="2">
        <v>57</v>
      </c>
      <c r="E137" s="2" t="s">
        <v>15</v>
      </c>
      <c r="F137" s="3" t="s">
        <v>16</v>
      </c>
      <c r="G137" s="4">
        <v>45058</v>
      </c>
      <c r="H137" s="3" t="s">
        <v>36</v>
      </c>
      <c r="I137" s="3" t="s">
        <v>75</v>
      </c>
      <c r="J137" s="3" t="s">
        <v>144</v>
      </c>
      <c r="K137" s="3" t="s">
        <v>77</v>
      </c>
      <c r="L137" s="5">
        <v>700</v>
      </c>
      <c r="M137" s="5">
        <v>410</v>
      </c>
    </row>
    <row r="138" spans="1:13" ht="18" customHeight="1" x14ac:dyDescent="0.35">
      <c r="A138" s="27" t="s">
        <v>361</v>
      </c>
      <c r="B138" s="7" t="s">
        <v>362</v>
      </c>
      <c r="C138" s="3" t="str">
        <f>PROPER(TRIM(Table3[[#This Row],[Column1]]))</f>
        <v>Mani Sharma</v>
      </c>
      <c r="D138" s="6">
        <v>59</v>
      </c>
      <c r="E138" s="6" t="s">
        <v>15</v>
      </c>
      <c r="F138" s="7" t="s">
        <v>69</v>
      </c>
      <c r="G138" s="8">
        <v>45547</v>
      </c>
      <c r="H138" s="7" t="s">
        <v>17</v>
      </c>
      <c r="I138" s="7" t="s">
        <v>18</v>
      </c>
      <c r="J138" s="7" t="s">
        <v>192</v>
      </c>
      <c r="K138" s="7" t="s">
        <v>66</v>
      </c>
      <c r="L138" s="9">
        <v>700</v>
      </c>
      <c r="M138" s="9">
        <v>880</v>
      </c>
    </row>
    <row r="139" spans="1:13" ht="18" customHeight="1" x14ac:dyDescent="0.35">
      <c r="A139" s="26" t="s">
        <v>363</v>
      </c>
      <c r="B139" s="3" t="s">
        <v>364</v>
      </c>
      <c r="C139" s="3" t="str">
        <f>PROPER(TRIM(Table3[[#This Row],[Column1]]))</f>
        <v>Nalini Patel</v>
      </c>
      <c r="D139" s="2">
        <v>55</v>
      </c>
      <c r="E139" s="2" t="s">
        <v>34</v>
      </c>
      <c r="F139" s="3" t="s">
        <v>69</v>
      </c>
      <c r="G139" s="4">
        <v>44969</v>
      </c>
      <c r="H139" s="3" t="s">
        <v>42</v>
      </c>
      <c r="I139" s="3" t="s">
        <v>70</v>
      </c>
      <c r="J139" s="3" t="s">
        <v>71</v>
      </c>
      <c r="K139" s="3" t="s">
        <v>129</v>
      </c>
      <c r="L139" s="5">
        <v>350</v>
      </c>
      <c r="M139" s="5">
        <v>240</v>
      </c>
    </row>
    <row r="140" spans="1:13" ht="18" customHeight="1" x14ac:dyDescent="0.35">
      <c r="A140" s="27" t="s">
        <v>365</v>
      </c>
      <c r="B140" s="7" t="s">
        <v>366</v>
      </c>
      <c r="C140" s="3" t="str">
        <f>PROPER(TRIM(Table3[[#This Row],[Column1]]))</f>
        <v>Pavan Menon</v>
      </c>
      <c r="D140" s="6">
        <v>19</v>
      </c>
      <c r="E140" s="6" t="s">
        <v>15</v>
      </c>
      <c r="F140" s="7" t="s">
        <v>80</v>
      </c>
      <c r="G140" s="8">
        <v>45419</v>
      </c>
      <c r="H140" s="7" t="s">
        <v>17</v>
      </c>
      <c r="I140" s="7" t="s">
        <v>18</v>
      </c>
      <c r="J140" s="7" t="s">
        <v>65</v>
      </c>
      <c r="K140" s="7" t="s">
        <v>148</v>
      </c>
      <c r="L140" s="9">
        <v>1150</v>
      </c>
      <c r="M140" s="9">
        <v>650</v>
      </c>
    </row>
    <row r="141" spans="1:13" ht="18" customHeight="1" x14ac:dyDescent="0.35">
      <c r="A141" s="26" t="s">
        <v>367</v>
      </c>
      <c r="B141" s="3" t="s">
        <v>368</v>
      </c>
      <c r="C141" s="3" t="str">
        <f>PROPER(TRIM(Table3[[#This Row],[Column1]]))</f>
        <v>Radha Murugan</v>
      </c>
      <c r="D141" s="2">
        <v>10</v>
      </c>
      <c r="E141" s="2" t="s">
        <v>15</v>
      </c>
      <c r="F141" s="3" t="s">
        <v>16</v>
      </c>
      <c r="G141" s="4">
        <v>45370</v>
      </c>
      <c r="H141" s="3" t="s">
        <v>28</v>
      </c>
      <c r="I141" s="3" t="s">
        <v>122</v>
      </c>
      <c r="J141" s="3" t="s">
        <v>174</v>
      </c>
      <c r="K141" s="3" t="s">
        <v>61</v>
      </c>
      <c r="L141" s="5">
        <v>450</v>
      </c>
      <c r="M141" s="5">
        <v>100</v>
      </c>
    </row>
    <row r="142" spans="1:13" ht="18" customHeight="1" x14ac:dyDescent="0.35">
      <c r="A142" s="27" t="s">
        <v>369</v>
      </c>
      <c r="B142" s="7" t="s">
        <v>370</v>
      </c>
      <c r="C142" s="3" t="str">
        <f>PROPER(TRIM(Table3[[#This Row],[Column1]]))</f>
        <v>Suresh Murugan</v>
      </c>
      <c r="D142" s="6">
        <v>25</v>
      </c>
      <c r="E142" s="6" t="s">
        <v>34</v>
      </c>
      <c r="F142" s="7" t="s">
        <v>35</v>
      </c>
      <c r="G142" s="8">
        <v>45377</v>
      </c>
      <c r="H142" s="7" t="s">
        <v>28</v>
      </c>
      <c r="I142" s="7" t="s">
        <v>29</v>
      </c>
      <c r="J142" s="7" t="s">
        <v>60</v>
      </c>
      <c r="K142" s="7" t="s">
        <v>371</v>
      </c>
      <c r="L142" s="9">
        <v>700</v>
      </c>
      <c r="M142" s="9">
        <v>270</v>
      </c>
    </row>
    <row r="143" spans="1:13" ht="18" customHeight="1" x14ac:dyDescent="0.35">
      <c r="A143" s="26" t="s">
        <v>372</v>
      </c>
      <c r="B143" s="3" t="s">
        <v>373</v>
      </c>
      <c r="C143" s="3" t="str">
        <f>PROPER(TRIM(Table3[[#This Row],[Column1]]))</f>
        <v>Thilaga Patel</v>
      </c>
      <c r="D143" s="2">
        <v>10</v>
      </c>
      <c r="E143" s="2" t="s">
        <v>34</v>
      </c>
      <c r="F143" s="3" t="s">
        <v>16</v>
      </c>
      <c r="G143" s="4">
        <v>45262</v>
      </c>
      <c r="H143" s="3" t="s">
        <v>36</v>
      </c>
      <c r="I143" s="3" t="s">
        <v>81</v>
      </c>
      <c r="J143" s="3" t="s">
        <v>144</v>
      </c>
      <c r="K143" s="3" t="s">
        <v>133</v>
      </c>
      <c r="L143" s="5">
        <v>850</v>
      </c>
      <c r="M143" s="5">
        <v>260</v>
      </c>
    </row>
    <row r="144" spans="1:13" ht="18" customHeight="1" x14ac:dyDescent="0.35">
      <c r="A144" s="27" t="s">
        <v>374</v>
      </c>
      <c r="B144" s="7" t="s">
        <v>375</v>
      </c>
      <c r="C144" s="3" t="str">
        <f>PROPER(TRIM(Table3[[#This Row],[Column1]]))</f>
        <v>Usha Murugan</v>
      </c>
      <c r="D144" s="6">
        <v>65</v>
      </c>
      <c r="E144" s="6" t="s">
        <v>34</v>
      </c>
      <c r="F144" s="7" t="s">
        <v>35</v>
      </c>
      <c r="G144" s="8">
        <v>44941</v>
      </c>
      <c r="H144" s="7" t="s">
        <v>42</v>
      </c>
      <c r="I144" s="7" t="s">
        <v>89</v>
      </c>
      <c r="J144" s="7" t="s">
        <v>136</v>
      </c>
      <c r="K144" s="7" t="s">
        <v>86</v>
      </c>
      <c r="L144" s="9">
        <v>450</v>
      </c>
      <c r="M144" s="9">
        <v>210</v>
      </c>
    </row>
    <row r="145" spans="1:13" ht="18" customHeight="1" x14ac:dyDescent="0.35">
      <c r="A145" s="26" t="s">
        <v>376</v>
      </c>
      <c r="B145" s="3" t="s">
        <v>377</v>
      </c>
      <c r="C145" s="3" t="str">
        <f>PROPER(TRIM(Table3[[#This Row],[Column1]]))</f>
        <v>Venkat Murugan</v>
      </c>
      <c r="D145" s="2">
        <v>5</v>
      </c>
      <c r="E145" s="2" t="s">
        <v>15</v>
      </c>
      <c r="F145" s="3" t="s">
        <v>80</v>
      </c>
      <c r="G145" s="4">
        <v>45374</v>
      </c>
      <c r="H145" s="3" t="s">
        <v>48</v>
      </c>
      <c r="I145" s="3" t="s">
        <v>54</v>
      </c>
      <c r="J145" s="3" t="s">
        <v>55</v>
      </c>
      <c r="K145" s="3" t="s">
        <v>51</v>
      </c>
      <c r="L145" s="5">
        <v>750</v>
      </c>
      <c r="M145" s="5">
        <v>490</v>
      </c>
    </row>
    <row r="146" spans="1:13" ht="18" customHeight="1" x14ac:dyDescent="0.35">
      <c r="A146" s="27" t="s">
        <v>378</v>
      </c>
      <c r="B146" s="7" t="s">
        <v>379</v>
      </c>
      <c r="C146" s="3" t="str">
        <f>PROPER(TRIM(Table3[[#This Row],[Column1]]))</f>
        <v>Yamini Subramanian</v>
      </c>
      <c r="D146" s="6">
        <v>19</v>
      </c>
      <c r="E146" s="6" t="s">
        <v>15</v>
      </c>
      <c r="F146" s="7" t="s">
        <v>80</v>
      </c>
      <c r="G146" s="8">
        <v>45394</v>
      </c>
      <c r="H146" s="7" t="s">
        <v>17</v>
      </c>
      <c r="I146" s="7" t="s">
        <v>64</v>
      </c>
      <c r="J146" s="7" t="s">
        <v>65</v>
      </c>
      <c r="K146" s="7" t="s">
        <v>148</v>
      </c>
      <c r="L146" s="9">
        <v>700</v>
      </c>
      <c r="M146" s="9">
        <v>830</v>
      </c>
    </row>
    <row r="147" spans="1:13" ht="18" customHeight="1" x14ac:dyDescent="0.35">
      <c r="A147" s="26" t="s">
        <v>380</v>
      </c>
      <c r="B147" s="3" t="s">
        <v>381</v>
      </c>
      <c r="C147" s="3" t="str">
        <f>PROPER(TRIM(Table3[[#This Row],[Column1]]))</f>
        <v>Aditya Krishnan</v>
      </c>
      <c r="D147" s="2">
        <v>26</v>
      </c>
      <c r="E147" s="2" t="s">
        <v>15</v>
      </c>
      <c r="F147" s="3" t="s">
        <v>27</v>
      </c>
      <c r="G147" s="4">
        <v>45468</v>
      </c>
      <c r="H147" s="3" t="s">
        <v>17</v>
      </c>
      <c r="I147" s="3" t="s">
        <v>64</v>
      </c>
      <c r="J147" s="3" t="s">
        <v>154</v>
      </c>
      <c r="K147" s="3" t="s">
        <v>148</v>
      </c>
      <c r="L147" s="5">
        <v>800</v>
      </c>
      <c r="M147" s="5">
        <v>530</v>
      </c>
    </row>
    <row r="148" spans="1:13" ht="18" customHeight="1" x14ac:dyDescent="0.35">
      <c r="A148" s="27" t="s">
        <v>382</v>
      </c>
      <c r="B148" s="7" t="s">
        <v>383</v>
      </c>
      <c r="C148" s="3" t="str">
        <f>PROPER(TRIM(Table3[[#This Row],[Column1]]))</f>
        <v>Bharathi Balan</v>
      </c>
      <c r="D148" s="6">
        <v>48</v>
      </c>
      <c r="E148" s="6" t="s">
        <v>34</v>
      </c>
      <c r="F148" s="7" t="s">
        <v>80</v>
      </c>
      <c r="G148" s="8">
        <v>45250</v>
      </c>
      <c r="H148" s="7" t="s">
        <v>36</v>
      </c>
      <c r="I148" s="7" t="s">
        <v>37</v>
      </c>
      <c r="J148" s="7" t="s">
        <v>38</v>
      </c>
      <c r="K148" s="7" t="s">
        <v>82</v>
      </c>
      <c r="L148" s="9">
        <v>850</v>
      </c>
      <c r="M148" s="9">
        <v>350</v>
      </c>
    </row>
    <row r="149" spans="1:13" ht="18" customHeight="1" x14ac:dyDescent="0.35">
      <c r="A149" s="26" t="s">
        <v>384</v>
      </c>
      <c r="B149" s="3" t="s">
        <v>385</v>
      </c>
      <c r="C149" s="3" t="str">
        <f>PROPER(TRIM(Table3[[#This Row],[Column1]]))</f>
        <v>Chandru Reddy</v>
      </c>
      <c r="D149" s="2">
        <v>67</v>
      </c>
      <c r="E149" s="2" t="s">
        <v>15</v>
      </c>
      <c r="F149" s="3" t="s">
        <v>35</v>
      </c>
      <c r="G149" s="4">
        <v>45522</v>
      </c>
      <c r="H149" s="3" t="s">
        <v>17</v>
      </c>
      <c r="I149" s="3" t="s">
        <v>23</v>
      </c>
      <c r="J149" s="3" t="s">
        <v>154</v>
      </c>
      <c r="K149" s="3" t="s">
        <v>66</v>
      </c>
      <c r="L149" s="5">
        <v>1150</v>
      </c>
      <c r="M149" s="5">
        <v>530</v>
      </c>
    </row>
    <row r="150" spans="1:13" ht="18" customHeight="1" x14ac:dyDescent="0.35">
      <c r="A150" s="27" t="s">
        <v>386</v>
      </c>
      <c r="B150" s="7" t="s">
        <v>387</v>
      </c>
      <c r="C150" s="3" t="str">
        <f>PROPER(TRIM(Table3[[#This Row],[Column1]]))</f>
        <v>Devika Iyer</v>
      </c>
      <c r="D150" s="6">
        <v>59</v>
      </c>
      <c r="E150" s="6" t="s">
        <v>34</v>
      </c>
      <c r="F150" s="7" t="s">
        <v>80</v>
      </c>
      <c r="G150" s="8">
        <v>45135</v>
      </c>
      <c r="H150" s="7" t="s">
        <v>48</v>
      </c>
      <c r="I150" s="7" t="s">
        <v>49</v>
      </c>
      <c r="J150" s="7" t="s">
        <v>50</v>
      </c>
      <c r="K150" s="7" t="s">
        <v>51</v>
      </c>
      <c r="L150" s="9">
        <v>600</v>
      </c>
      <c r="M150" s="9">
        <v>360</v>
      </c>
    </row>
    <row r="151" spans="1:13" ht="18" customHeight="1" x14ac:dyDescent="0.35">
      <c r="A151" s="26" t="s">
        <v>388</v>
      </c>
      <c r="B151" s="3" t="s">
        <v>389</v>
      </c>
      <c r="C151" s="3" t="str">
        <f>PROPER(TRIM(Table3[[#This Row],[Column1]]))</f>
        <v>Elango Sharma</v>
      </c>
      <c r="D151" s="2">
        <v>69</v>
      </c>
      <c r="E151" s="2" t="s">
        <v>15</v>
      </c>
      <c r="F151" s="3" t="s">
        <v>35</v>
      </c>
      <c r="G151" s="4">
        <v>45487</v>
      </c>
      <c r="H151" s="3" t="s">
        <v>48</v>
      </c>
      <c r="I151" s="3" t="s">
        <v>54</v>
      </c>
      <c r="J151" s="3" t="s">
        <v>94</v>
      </c>
      <c r="K151" s="3" t="s">
        <v>95</v>
      </c>
      <c r="L151" s="5">
        <v>600</v>
      </c>
      <c r="M151" s="5">
        <v>220</v>
      </c>
    </row>
    <row r="152" spans="1:13" ht="18" customHeight="1" x14ac:dyDescent="0.35">
      <c r="A152" s="27" t="s">
        <v>390</v>
      </c>
      <c r="B152" s="7" t="s">
        <v>391</v>
      </c>
      <c r="C152" s="3" t="str">
        <f>PROPER(TRIM(Table3[[#This Row],[Column1]]))</f>
        <v>Fathima Krishnan</v>
      </c>
      <c r="D152" s="6">
        <v>52</v>
      </c>
      <c r="E152" s="6" t="s">
        <v>15</v>
      </c>
      <c r="F152" s="7" t="s">
        <v>80</v>
      </c>
      <c r="G152" s="8">
        <v>45631</v>
      </c>
      <c r="H152" s="7" t="s">
        <v>17</v>
      </c>
      <c r="I152" s="7" t="s">
        <v>18</v>
      </c>
      <c r="J152" s="7" t="s">
        <v>65</v>
      </c>
      <c r="K152" s="7" t="s">
        <v>20</v>
      </c>
      <c r="L152" s="9">
        <v>950</v>
      </c>
      <c r="M152" s="9">
        <v>600</v>
      </c>
    </row>
    <row r="153" spans="1:13" ht="18" customHeight="1" x14ac:dyDescent="0.35">
      <c r="A153" s="26" t="s">
        <v>392</v>
      </c>
      <c r="B153" s="3" t="s">
        <v>393</v>
      </c>
      <c r="C153" s="3" t="str">
        <f>PROPER(TRIM(Table3[[#This Row],[Column1]]))</f>
        <v>Gopal Vel</v>
      </c>
      <c r="D153" s="2">
        <v>80</v>
      </c>
      <c r="E153" s="2" t="s">
        <v>15</v>
      </c>
      <c r="F153" s="3" t="s">
        <v>27</v>
      </c>
      <c r="G153" s="4">
        <v>45278</v>
      </c>
      <c r="H153" s="3" t="s">
        <v>28</v>
      </c>
      <c r="I153" s="3" t="s">
        <v>59</v>
      </c>
      <c r="J153" s="3" t="s">
        <v>174</v>
      </c>
      <c r="K153" s="3" t="s">
        <v>371</v>
      </c>
      <c r="L153" s="5">
        <v>450</v>
      </c>
      <c r="M153" s="5">
        <v>220</v>
      </c>
    </row>
    <row r="154" spans="1:13" ht="18" customHeight="1" x14ac:dyDescent="0.35">
      <c r="A154" s="27" t="s">
        <v>394</v>
      </c>
      <c r="B154" s="7" t="s">
        <v>395</v>
      </c>
      <c r="C154" s="3" t="str">
        <f>PROPER(TRIM(Table3[[#This Row],[Column1]]))</f>
        <v>Hema Murugan</v>
      </c>
      <c r="D154" s="6">
        <v>74</v>
      </c>
      <c r="E154" s="6" t="s">
        <v>34</v>
      </c>
      <c r="F154" s="7" t="s">
        <v>35</v>
      </c>
      <c r="G154" s="8">
        <v>45058</v>
      </c>
      <c r="H154" s="7" t="s">
        <v>42</v>
      </c>
      <c r="I154" s="7" t="s">
        <v>43</v>
      </c>
      <c r="J154" s="7" t="s">
        <v>136</v>
      </c>
      <c r="K154" s="7" t="s">
        <v>45</v>
      </c>
      <c r="L154" s="9">
        <v>350</v>
      </c>
      <c r="M154" s="9">
        <v>310</v>
      </c>
    </row>
    <row r="155" spans="1:13" ht="18" customHeight="1" x14ac:dyDescent="0.35">
      <c r="A155" s="26" t="s">
        <v>396</v>
      </c>
      <c r="B155" s="3" t="s">
        <v>397</v>
      </c>
      <c r="C155" s="3" t="str">
        <f>PROPER(TRIM(Table3[[#This Row],[Column1]]))</f>
        <v>Ilango Narayanan</v>
      </c>
      <c r="D155" s="2">
        <v>44</v>
      </c>
      <c r="E155" s="2" t="s">
        <v>15</v>
      </c>
      <c r="F155" s="3" t="s">
        <v>107</v>
      </c>
      <c r="G155" s="4">
        <v>45175</v>
      </c>
      <c r="H155" s="3" t="s">
        <v>36</v>
      </c>
      <c r="I155" s="3" t="s">
        <v>81</v>
      </c>
      <c r="J155" s="3" t="s">
        <v>144</v>
      </c>
      <c r="K155" s="3" t="s">
        <v>82</v>
      </c>
      <c r="L155" s="5">
        <v>750</v>
      </c>
      <c r="M155" s="5">
        <v>350</v>
      </c>
    </row>
    <row r="156" spans="1:13" ht="18" customHeight="1" x14ac:dyDescent="0.35">
      <c r="A156" s="27" t="s">
        <v>398</v>
      </c>
      <c r="B156" s="7" t="s">
        <v>399</v>
      </c>
      <c r="C156" s="3" t="str">
        <f>PROPER(TRIM(Table3[[#This Row],[Column1]]))</f>
        <v>Janani Rao</v>
      </c>
      <c r="D156" s="6">
        <v>11</v>
      </c>
      <c r="E156" s="6" t="s">
        <v>15</v>
      </c>
      <c r="F156" s="7" t="s">
        <v>35</v>
      </c>
      <c r="G156" s="8">
        <v>44936</v>
      </c>
      <c r="H156" s="7" t="s">
        <v>42</v>
      </c>
      <c r="I156" s="7" t="s">
        <v>89</v>
      </c>
      <c r="J156" s="7" t="s">
        <v>44</v>
      </c>
      <c r="K156" s="7" t="s">
        <v>129</v>
      </c>
      <c r="L156" s="9">
        <v>350</v>
      </c>
      <c r="M156" s="9">
        <v>160</v>
      </c>
    </row>
    <row r="157" spans="1:13" ht="18" customHeight="1" x14ac:dyDescent="0.35">
      <c r="A157" s="26" t="s">
        <v>400</v>
      </c>
      <c r="B157" s="3" t="s">
        <v>401</v>
      </c>
      <c r="C157" s="3" t="str">
        <f>PROPER(TRIM(Table3[[#This Row],[Column1]]))</f>
        <v>Kabilan Verma</v>
      </c>
      <c r="D157" s="2">
        <v>27</v>
      </c>
      <c r="E157" s="2" t="s">
        <v>34</v>
      </c>
      <c r="F157" s="3" t="s">
        <v>35</v>
      </c>
      <c r="G157" s="4">
        <v>45328</v>
      </c>
      <c r="H157" s="3" t="s">
        <v>28</v>
      </c>
      <c r="I157" s="3" t="s">
        <v>29</v>
      </c>
      <c r="J157" s="3" t="s">
        <v>123</v>
      </c>
      <c r="K157" s="3" t="s">
        <v>61</v>
      </c>
      <c r="L157" s="5">
        <v>500</v>
      </c>
      <c r="M157" s="5">
        <v>200</v>
      </c>
    </row>
    <row r="158" spans="1:13" ht="18" customHeight="1" x14ac:dyDescent="0.35">
      <c r="A158" s="27" t="s">
        <v>402</v>
      </c>
      <c r="B158" s="7" t="s">
        <v>403</v>
      </c>
      <c r="C158" s="3" t="str">
        <f>PROPER(TRIM(Table3[[#This Row],[Column1]]))</f>
        <v>Lalitha Selvam</v>
      </c>
      <c r="D158" s="6">
        <v>40</v>
      </c>
      <c r="E158" s="6" t="s">
        <v>15</v>
      </c>
      <c r="F158" s="7" t="s">
        <v>35</v>
      </c>
      <c r="G158" s="8">
        <v>45480</v>
      </c>
      <c r="H158" s="7" t="s">
        <v>42</v>
      </c>
      <c r="I158" s="7" t="s">
        <v>89</v>
      </c>
      <c r="J158" s="7" t="s">
        <v>71</v>
      </c>
      <c r="K158" s="7" t="s">
        <v>90</v>
      </c>
      <c r="L158" s="9">
        <v>450</v>
      </c>
      <c r="M158" s="9">
        <v>160</v>
      </c>
    </row>
    <row r="159" spans="1:13" ht="18" customHeight="1" x14ac:dyDescent="0.35">
      <c r="A159" s="26" t="s">
        <v>404</v>
      </c>
      <c r="B159" s="3" t="s">
        <v>405</v>
      </c>
      <c r="C159" s="3" t="str">
        <f>PROPER(TRIM(Table3[[#This Row],[Column1]]))</f>
        <v>Muthu Rao</v>
      </c>
      <c r="D159" s="2">
        <v>49</v>
      </c>
      <c r="E159" s="2" t="s">
        <v>15</v>
      </c>
      <c r="F159" s="3" t="s">
        <v>69</v>
      </c>
      <c r="G159" s="4">
        <v>45159</v>
      </c>
      <c r="H159" s="3" t="s">
        <v>28</v>
      </c>
      <c r="I159" s="3" t="s">
        <v>29</v>
      </c>
      <c r="J159" s="3" t="s">
        <v>60</v>
      </c>
      <c r="K159" s="3" t="s">
        <v>31</v>
      </c>
      <c r="L159" s="5">
        <v>650</v>
      </c>
      <c r="M159" s="5">
        <v>200</v>
      </c>
    </row>
    <row r="160" spans="1:13" ht="18" customHeight="1" x14ac:dyDescent="0.35">
      <c r="A160" s="27" t="s">
        <v>406</v>
      </c>
      <c r="B160" s="7" t="s">
        <v>407</v>
      </c>
      <c r="C160" s="3" t="str">
        <f>PROPER(TRIM(Table3[[#This Row],[Column1]]))</f>
        <v>Nandini Selvam</v>
      </c>
      <c r="D160" s="6">
        <v>38</v>
      </c>
      <c r="E160" s="6" t="s">
        <v>34</v>
      </c>
      <c r="F160" s="7" t="s">
        <v>16</v>
      </c>
      <c r="G160" s="8">
        <v>45343</v>
      </c>
      <c r="H160" s="7" t="s">
        <v>36</v>
      </c>
      <c r="I160" s="7" t="s">
        <v>81</v>
      </c>
      <c r="J160" s="7" t="s">
        <v>144</v>
      </c>
      <c r="K160" s="7" t="s">
        <v>133</v>
      </c>
      <c r="L160" s="9">
        <v>700</v>
      </c>
      <c r="M160" s="9">
        <v>440</v>
      </c>
    </row>
    <row r="161" spans="1:13" ht="18" customHeight="1" x14ac:dyDescent="0.35">
      <c r="A161" s="26" t="s">
        <v>408</v>
      </c>
      <c r="B161" s="3" t="s">
        <v>409</v>
      </c>
      <c r="C161" s="3" t="str">
        <f>PROPER(TRIM(Table3[[#This Row],[Column1]]))</f>
        <v>Prakash Vel</v>
      </c>
      <c r="D161" s="2">
        <v>37</v>
      </c>
      <c r="E161" s="2" t="s">
        <v>34</v>
      </c>
      <c r="F161" s="3" t="s">
        <v>80</v>
      </c>
      <c r="G161" s="4">
        <v>45141</v>
      </c>
      <c r="H161" s="3" t="s">
        <v>28</v>
      </c>
      <c r="I161" s="3" t="s">
        <v>29</v>
      </c>
      <c r="J161" s="3" t="s">
        <v>110</v>
      </c>
      <c r="K161" s="3" t="s">
        <v>298</v>
      </c>
      <c r="L161" s="5">
        <v>500</v>
      </c>
      <c r="M161" s="5">
        <v>110</v>
      </c>
    </row>
    <row r="162" spans="1:13" ht="18" customHeight="1" x14ac:dyDescent="0.35">
      <c r="A162" s="27" t="s">
        <v>410</v>
      </c>
      <c r="B162" s="7" t="s">
        <v>411</v>
      </c>
      <c r="C162" s="3" t="str">
        <f>PROPER(TRIM(Table3[[#This Row],[Column1]]))</f>
        <v>Ramya Verma</v>
      </c>
      <c r="D162" s="6">
        <v>45</v>
      </c>
      <c r="E162" s="6" t="s">
        <v>34</v>
      </c>
      <c r="F162" s="7" t="s">
        <v>80</v>
      </c>
      <c r="G162" s="8">
        <v>45057</v>
      </c>
      <c r="H162" s="7" t="s">
        <v>17</v>
      </c>
      <c r="I162" s="7" t="s">
        <v>18</v>
      </c>
      <c r="J162" s="7" t="s">
        <v>147</v>
      </c>
      <c r="K162" s="7" t="s">
        <v>66</v>
      </c>
      <c r="L162" s="9">
        <v>1000</v>
      </c>
      <c r="M162" s="9">
        <v>480</v>
      </c>
    </row>
    <row r="163" spans="1:13" ht="18" customHeight="1" x14ac:dyDescent="0.35">
      <c r="A163" s="26" t="s">
        <v>412</v>
      </c>
      <c r="B163" s="3" t="s">
        <v>413</v>
      </c>
      <c r="C163" s="3" t="str">
        <f>PROPER(TRIM(Table3[[#This Row],[Column1]]))</f>
        <v>Selvam Nair</v>
      </c>
      <c r="D163" s="2">
        <v>59</v>
      </c>
      <c r="E163" s="2" t="s">
        <v>34</v>
      </c>
      <c r="F163" s="3" t="s">
        <v>69</v>
      </c>
      <c r="G163" s="4">
        <v>45525</v>
      </c>
      <c r="H163" s="3" t="s">
        <v>36</v>
      </c>
      <c r="I163" s="3" t="s">
        <v>81</v>
      </c>
      <c r="J163" s="3" t="s">
        <v>38</v>
      </c>
      <c r="K163" s="3" t="s">
        <v>77</v>
      </c>
      <c r="L163" s="5">
        <v>850</v>
      </c>
      <c r="M163" s="5">
        <v>350</v>
      </c>
    </row>
    <row r="164" spans="1:13" ht="18" customHeight="1" x14ac:dyDescent="0.35">
      <c r="A164" s="27" t="s">
        <v>414</v>
      </c>
      <c r="B164" s="7" t="s">
        <v>415</v>
      </c>
      <c r="C164" s="3" t="str">
        <f>PROPER(TRIM(Table3[[#This Row],[Column1]]))</f>
        <v>Thenmozhi Raja</v>
      </c>
      <c r="D164" s="6">
        <v>74</v>
      </c>
      <c r="E164" s="6" t="s">
        <v>34</v>
      </c>
      <c r="F164" s="7" t="s">
        <v>80</v>
      </c>
      <c r="G164" s="8">
        <v>45475</v>
      </c>
      <c r="H164" s="7" t="s">
        <v>17</v>
      </c>
      <c r="I164" s="7" t="s">
        <v>18</v>
      </c>
      <c r="J164" s="7" t="s">
        <v>192</v>
      </c>
      <c r="K164" s="7" t="s">
        <v>20</v>
      </c>
      <c r="L164" s="9">
        <v>850</v>
      </c>
      <c r="M164" s="9">
        <v>350</v>
      </c>
    </row>
    <row r="165" spans="1:13" ht="18" customHeight="1" x14ac:dyDescent="0.35">
      <c r="A165" s="26" t="s">
        <v>416</v>
      </c>
      <c r="B165" s="3" t="s">
        <v>417</v>
      </c>
      <c r="C165" s="3" t="str">
        <f>PROPER(TRIM(Table3[[#This Row],[Column1]]))</f>
        <v>Uma Vel</v>
      </c>
      <c r="D165" s="2">
        <v>17</v>
      </c>
      <c r="E165" s="2" t="s">
        <v>15</v>
      </c>
      <c r="F165" s="3" t="s">
        <v>69</v>
      </c>
      <c r="G165" s="4">
        <v>45501</v>
      </c>
      <c r="H165" s="3" t="s">
        <v>36</v>
      </c>
      <c r="I165" s="3" t="s">
        <v>37</v>
      </c>
      <c r="J165" s="3" t="s">
        <v>76</v>
      </c>
      <c r="K165" s="3" t="s">
        <v>133</v>
      </c>
      <c r="L165" s="5">
        <v>650</v>
      </c>
      <c r="M165" s="5">
        <v>250</v>
      </c>
    </row>
    <row r="166" spans="1:13" ht="18" customHeight="1" x14ac:dyDescent="0.35">
      <c r="A166" s="27" t="s">
        <v>418</v>
      </c>
      <c r="B166" s="7" t="s">
        <v>419</v>
      </c>
      <c r="C166" s="3" t="str">
        <f>PROPER(TRIM(Table3[[#This Row],[Column1]]))</f>
        <v>Vijaya Patel</v>
      </c>
      <c r="D166" s="6">
        <v>73</v>
      </c>
      <c r="E166" s="6" t="s">
        <v>15</v>
      </c>
      <c r="F166" s="7" t="s">
        <v>35</v>
      </c>
      <c r="G166" s="8">
        <v>45163</v>
      </c>
      <c r="H166" s="7" t="s">
        <v>17</v>
      </c>
      <c r="I166" s="7" t="s">
        <v>23</v>
      </c>
      <c r="J166" s="7" t="s">
        <v>147</v>
      </c>
      <c r="K166" s="7" t="s">
        <v>20</v>
      </c>
      <c r="L166" s="9">
        <v>850</v>
      </c>
      <c r="M166" s="9">
        <v>730</v>
      </c>
    </row>
    <row r="167" spans="1:13" ht="18" customHeight="1" x14ac:dyDescent="0.35">
      <c r="A167" s="26" t="s">
        <v>420</v>
      </c>
      <c r="B167" s="3" t="s">
        <v>421</v>
      </c>
      <c r="C167" s="3" t="str">
        <f>PROPER(TRIM(Table3[[#This Row],[Column1]]))</f>
        <v>Anbu Menon</v>
      </c>
      <c r="D167" s="2">
        <v>10</v>
      </c>
      <c r="E167" s="2" t="s">
        <v>15</v>
      </c>
      <c r="F167" s="3" t="s">
        <v>27</v>
      </c>
      <c r="G167" s="4">
        <v>45226</v>
      </c>
      <c r="H167" s="3" t="s">
        <v>48</v>
      </c>
      <c r="I167" s="3" t="s">
        <v>93</v>
      </c>
      <c r="J167" s="3" t="s">
        <v>257</v>
      </c>
      <c r="K167" s="3" t="s">
        <v>141</v>
      </c>
      <c r="L167" s="5">
        <v>800</v>
      </c>
      <c r="M167" s="5">
        <v>460</v>
      </c>
    </row>
    <row r="168" spans="1:13" ht="18" customHeight="1" x14ac:dyDescent="0.35">
      <c r="A168" s="27" t="s">
        <v>422</v>
      </c>
      <c r="B168" s="7" t="s">
        <v>423</v>
      </c>
      <c r="C168" s="3" t="str">
        <f>PROPER(TRIM(Table3[[#This Row],[Column1]]))</f>
        <v>Bala Raja</v>
      </c>
      <c r="D168" s="6">
        <v>73</v>
      </c>
      <c r="E168" s="6" t="s">
        <v>34</v>
      </c>
      <c r="F168" s="7" t="s">
        <v>107</v>
      </c>
      <c r="G168" s="8">
        <v>45039</v>
      </c>
      <c r="H168" s="7" t="s">
        <v>17</v>
      </c>
      <c r="I168" s="7" t="s">
        <v>18</v>
      </c>
      <c r="J168" s="7" t="s">
        <v>154</v>
      </c>
      <c r="K168" s="7" t="s">
        <v>20</v>
      </c>
      <c r="L168" s="9">
        <v>850</v>
      </c>
      <c r="M168" s="9">
        <v>670</v>
      </c>
    </row>
    <row r="169" spans="1:13" ht="18" customHeight="1" x14ac:dyDescent="0.35">
      <c r="A169" s="26" t="s">
        <v>424</v>
      </c>
      <c r="B169" s="3" t="s">
        <v>425</v>
      </c>
      <c r="C169" s="3" t="str">
        <f>PROPER(TRIM(Table3[[#This Row],[Column1]]))</f>
        <v>Chandra Mani</v>
      </c>
      <c r="D169" s="2">
        <v>21</v>
      </c>
      <c r="E169" s="2" t="s">
        <v>34</v>
      </c>
      <c r="F169" s="3" t="s">
        <v>16</v>
      </c>
      <c r="G169" s="4">
        <v>44984</v>
      </c>
      <c r="H169" s="3" t="s">
        <v>17</v>
      </c>
      <c r="I169" s="3" t="s">
        <v>64</v>
      </c>
      <c r="J169" s="3" t="s">
        <v>154</v>
      </c>
      <c r="K169" s="3" t="s">
        <v>226</v>
      </c>
      <c r="L169" s="5">
        <v>1000</v>
      </c>
      <c r="M169" s="5">
        <v>680</v>
      </c>
    </row>
    <row r="170" spans="1:13" ht="18" customHeight="1" x14ac:dyDescent="0.35">
      <c r="A170" s="27" t="s">
        <v>426</v>
      </c>
      <c r="B170" s="7" t="s">
        <v>427</v>
      </c>
      <c r="C170" s="3" t="str">
        <f>PROPER(TRIM(Table3[[#This Row],[Column1]]))</f>
        <v>Durai Raja</v>
      </c>
      <c r="D170" s="6">
        <v>40</v>
      </c>
      <c r="E170" s="6" t="s">
        <v>15</v>
      </c>
      <c r="F170" s="7" t="s">
        <v>107</v>
      </c>
      <c r="G170" s="8">
        <v>45616</v>
      </c>
      <c r="H170" s="7" t="s">
        <v>42</v>
      </c>
      <c r="I170" s="7" t="s">
        <v>43</v>
      </c>
      <c r="J170" s="7" t="s">
        <v>71</v>
      </c>
      <c r="K170" s="7" t="s">
        <v>119</v>
      </c>
      <c r="L170" s="9">
        <v>400</v>
      </c>
      <c r="M170" s="9">
        <v>250</v>
      </c>
    </row>
    <row r="171" spans="1:13" ht="18" customHeight="1" x14ac:dyDescent="0.35">
      <c r="A171" s="26" t="s">
        <v>428</v>
      </c>
      <c r="B171" s="3" t="s">
        <v>429</v>
      </c>
      <c r="C171" s="3" t="str">
        <f>PROPER(TRIM(Table3[[#This Row],[Column1]]))</f>
        <v>Ezhil Rao</v>
      </c>
      <c r="D171" s="2">
        <v>22</v>
      </c>
      <c r="E171" s="2" t="s">
        <v>34</v>
      </c>
      <c r="F171" s="3" t="s">
        <v>69</v>
      </c>
      <c r="G171" s="4">
        <v>44940</v>
      </c>
      <c r="H171" s="3" t="s">
        <v>42</v>
      </c>
      <c r="I171" s="3" t="s">
        <v>43</v>
      </c>
      <c r="J171" s="3" t="s">
        <v>110</v>
      </c>
      <c r="K171" s="3" t="s">
        <v>129</v>
      </c>
      <c r="L171" s="5">
        <v>400</v>
      </c>
      <c r="M171" s="5">
        <v>360</v>
      </c>
    </row>
    <row r="172" spans="1:13" ht="18" customHeight="1" x14ac:dyDescent="0.35">
      <c r="A172" s="27" t="s">
        <v>430</v>
      </c>
      <c r="B172" s="7" t="s">
        <v>431</v>
      </c>
      <c r="C172" s="3" t="str">
        <f>PROPER(TRIM(Table3[[#This Row],[Column1]]))</f>
        <v>Guna Murugan</v>
      </c>
      <c r="D172" s="6">
        <v>33</v>
      </c>
      <c r="E172" s="6" t="s">
        <v>34</v>
      </c>
      <c r="F172" s="7" t="s">
        <v>27</v>
      </c>
      <c r="G172" s="8">
        <v>45643</v>
      </c>
      <c r="H172" s="7" t="s">
        <v>17</v>
      </c>
      <c r="I172" s="7" t="s">
        <v>23</v>
      </c>
      <c r="J172" s="7" t="s">
        <v>65</v>
      </c>
      <c r="K172" s="7" t="s">
        <v>24</v>
      </c>
      <c r="L172" s="9">
        <v>1100</v>
      </c>
      <c r="M172" s="9">
        <v>500</v>
      </c>
    </row>
    <row r="173" spans="1:13" ht="18" customHeight="1" x14ac:dyDescent="0.35">
      <c r="A173" s="26" t="s">
        <v>432</v>
      </c>
      <c r="B173" s="3" t="s">
        <v>433</v>
      </c>
      <c r="C173" s="3" t="str">
        <f>PROPER(TRIM(Table3[[#This Row],[Column1]]))</f>
        <v>Hari Verma</v>
      </c>
      <c r="D173" s="2">
        <v>50</v>
      </c>
      <c r="E173" s="2" t="s">
        <v>15</v>
      </c>
      <c r="F173" s="3" t="s">
        <v>27</v>
      </c>
      <c r="G173" s="4">
        <v>45113</v>
      </c>
      <c r="H173" s="3" t="s">
        <v>36</v>
      </c>
      <c r="I173" s="3" t="s">
        <v>81</v>
      </c>
      <c r="J173" s="3" t="s">
        <v>144</v>
      </c>
      <c r="K173" s="3" t="s">
        <v>189</v>
      </c>
      <c r="L173" s="5">
        <v>950</v>
      </c>
      <c r="M173" s="5">
        <v>680</v>
      </c>
    </row>
    <row r="174" spans="1:13" ht="18" customHeight="1" x14ac:dyDescent="0.35">
      <c r="A174" s="27" t="s">
        <v>434</v>
      </c>
      <c r="B174" s="7" t="s">
        <v>435</v>
      </c>
      <c r="C174" s="3" t="str">
        <f>PROPER(TRIM(Table3[[#This Row],[Column1]]))</f>
        <v>Indu Narayanan</v>
      </c>
      <c r="D174" s="6">
        <v>30</v>
      </c>
      <c r="E174" s="6" t="s">
        <v>15</v>
      </c>
      <c r="F174" s="7" t="s">
        <v>69</v>
      </c>
      <c r="G174" s="8">
        <v>45317</v>
      </c>
      <c r="H174" s="7" t="s">
        <v>17</v>
      </c>
      <c r="I174" s="7" t="s">
        <v>18</v>
      </c>
      <c r="J174" s="7" t="s">
        <v>19</v>
      </c>
      <c r="K174" s="7" t="s">
        <v>148</v>
      </c>
      <c r="L174" s="9">
        <v>800</v>
      </c>
      <c r="M174" s="9">
        <v>420</v>
      </c>
    </row>
    <row r="175" spans="1:13" ht="18" customHeight="1" x14ac:dyDescent="0.35">
      <c r="A175" s="26" t="s">
        <v>436</v>
      </c>
      <c r="B175" s="3" t="s">
        <v>437</v>
      </c>
      <c r="C175" s="3" t="str">
        <f>PROPER(TRIM(Table3[[#This Row],[Column1]]))</f>
        <v>Jothi Reddy</v>
      </c>
      <c r="D175" s="2">
        <v>59</v>
      </c>
      <c r="E175" s="2" t="s">
        <v>34</v>
      </c>
      <c r="F175" s="3" t="s">
        <v>16</v>
      </c>
      <c r="G175" s="4">
        <v>45370</v>
      </c>
      <c r="H175" s="3" t="s">
        <v>36</v>
      </c>
      <c r="I175" s="3" t="s">
        <v>81</v>
      </c>
      <c r="J175" s="3" t="s">
        <v>144</v>
      </c>
      <c r="K175" s="3" t="s">
        <v>133</v>
      </c>
      <c r="L175" s="5">
        <v>650</v>
      </c>
      <c r="M175" s="5">
        <v>230</v>
      </c>
    </row>
    <row r="176" spans="1:13" ht="18" customHeight="1" x14ac:dyDescent="0.35">
      <c r="A176" s="27" t="s">
        <v>438</v>
      </c>
      <c r="B176" s="7" t="s">
        <v>439</v>
      </c>
      <c r="C176" s="3" t="str">
        <f>PROPER(TRIM(Table3[[#This Row],[Column1]]))</f>
        <v>Kamal Narayanan</v>
      </c>
      <c r="D176" s="6">
        <v>5</v>
      </c>
      <c r="E176" s="6" t="s">
        <v>15</v>
      </c>
      <c r="F176" s="7" t="s">
        <v>27</v>
      </c>
      <c r="G176" s="8">
        <v>45587</v>
      </c>
      <c r="H176" s="7" t="s">
        <v>17</v>
      </c>
      <c r="I176" s="7" t="s">
        <v>23</v>
      </c>
      <c r="J176" s="7" t="s">
        <v>65</v>
      </c>
      <c r="K176" s="7" t="s">
        <v>148</v>
      </c>
      <c r="L176" s="9">
        <v>750</v>
      </c>
      <c r="M176" s="9">
        <v>310</v>
      </c>
    </row>
    <row r="177" spans="1:13" ht="18" customHeight="1" x14ac:dyDescent="0.35">
      <c r="A177" s="26" t="s">
        <v>440</v>
      </c>
      <c r="B177" s="3" t="s">
        <v>441</v>
      </c>
      <c r="C177" s="3" t="str">
        <f>PROPER(TRIM(Table3[[#This Row],[Column1]]))</f>
        <v>Lekha Subramanian</v>
      </c>
      <c r="D177" s="2">
        <v>21</v>
      </c>
      <c r="E177" s="2" t="s">
        <v>34</v>
      </c>
      <c r="F177" s="3" t="s">
        <v>107</v>
      </c>
      <c r="G177" s="4">
        <v>45518</v>
      </c>
      <c r="H177" s="3" t="s">
        <v>42</v>
      </c>
      <c r="I177" s="3" t="s">
        <v>43</v>
      </c>
      <c r="J177" s="3" t="s">
        <v>71</v>
      </c>
      <c r="K177" s="3" t="s">
        <v>72</v>
      </c>
      <c r="L177" s="5">
        <v>450</v>
      </c>
      <c r="M177" s="5">
        <v>330</v>
      </c>
    </row>
    <row r="178" spans="1:13" ht="18" customHeight="1" x14ac:dyDescent="0.35">
      <c r="A178" s="27" t="s">
        <v>442</v>
      </c>
      <c r="B178" s="7" t="s">
        <v>443</v>
      </c>
      <c r="C178" s="3" t="str">
        <f>PROPER(TRIM(Table3[[#This Row],[Column1]]))</f>
        <v>Malar Singh</v>
      </c>
      <c r="D178" s="6">
        <v>11</v>
      </c>
      <c r="E178" s="6" t="s">
        <v>34</v>
      </c>
      <c r="F178" s="7" t="s">
        <v>27</v>
      </c>
      <c r="G178" s="8">
        <v>45005</v>
      </c>
      <c r="H178" s="7" t="s">
        <v>48</v>
      </c>
      <c r="I178" s="7" t="s">
        <v>93</v>
      </c>
      <c r="J178" s="7" t="s">
        <v>50</v>
      </c>
      <c r="K178" s="7" t="s">
        <v>114</v>
      </c>
      <c r="L178" s="9">
        <v>650</v>
      </c>
      <c r="M178" s="9">
        <v>420</v>
      </c>
    </row>
    <row r="179" spans="1:13" ht="18" customHeight="1" x14ac:dyDescent="0.35">
      <c r="A179" s="26" t="s">
        <v>444</v>
      </c>
      <c r="B179" s="3" t="s">
        <v>445</v>
      </c>
      <c r="C179" s="3" t="str">
        <f>PROPER(TRIM(Table3[[#This Row],[Column1]]))</f>
        <v>Naga Reddy</v>
      </c>
      <c r="D179" s="2">
        <v>50</v>
      </c>
      <c r="E179" s="2" t="s">
        <v>34</v>
      </c>
      <c r="F179" s="3" t="s">
        <v>35</v>
      </c>
      <c r="G179" s="4">
        <v>45232</v>
      </c>
      <c r="H179" s="3" t="s">
        <v>42</v>
      </c>
      <c r="I179" s="3" t="s">
        <v>43</v>
      </c>
      <c r="J179" s="3" t="s">
        <v>44</v>
      </c>
      <c r="K179" s="3" t="s">
        <v>45</v>
      </c>
      <c r="L179" s="5">
        <v>400</v>
      </c>
      <c r="M179" s="5">
        <v>100</v>
      </c>
    </row>
    <row r="180" spans="1:13" ht="18" customHeight="1" x14ac:dyDescent="0.35">
      <c r="A180" s="27" t="s">
        <v>446</v>
      </c>
      <c r="B180" s="7" t="s">
        <v>447</v>
      </c>
      <c r="C180" s="3" t="str">
        <f>PROPER(TRIM(Table3[[#This Row],[Column1]]))</f>
        <v>Oviya Rajan</v>
      </c>
      <c r="D180" s="6">
        <v>24</v>
      </c>
      <c r="E180" s="6" t="s">
        <v>15</v>
      </c>
      <c r="F180" s="7" t="s">
        <v>27</v>
      </c>
      <c r="G180" s="8">
        <v>45568</v>
      </c>
      <c r="H180" s="7" t="s">
        <v>17</v>
      </c>
      <c r="I180" s="7" t="s">
        <v>23</v>
      </c>
      <c r="J180" s="7" t="s">
        <v>65</v>
      </c>
      <c r="K180" s="7" t="s">
        <v>148</v>
      </c>
      <c r="L180" s="9">
        <v>800</v>
      </c>
      <c r="M180" s="9">
        <v>840</v>
      </c>
    </row>
    <row r="181" spans="1:13" ht="18" customHeight="1" x14ac:dyDescent="0.35">
      <c r="A181" s="26" t="s">
        <v>448</v>
      </c>
      <c r="B181" s="3" t="s">
        <v>449</v>
      </c>
      <c r="C181" s="3" t="str">
        <f>PROPER(TRIM(Table3[[#This Row],[Column1]]))</f>
        <v>Pari Verma</v>
      </c>
      <c r="D181" s="2">
        <v>23</v>
      </c>
      <c r="E181" s="2" t="s">
        <v>15</v>
      </c>
      <c r="F181" s="3" t="s">
        <v>16</v>
      </c>
      <c r="G181" s="4">
        <v>45392</v>
      </c>
      <c r="H181" s="3" t="s">
        <v>42</v>
      </c>
      <c r="I181" s="3" t="s">
        <v>89</v>
      </c>
      <c r="J181" s="3" t="s">
        <v>136</v>
      </c>
      <c r="K181" s="3" t="s">
        <v>86</v>
      </c>
      <c r="L181" s="5">
        <v>500</v>
      </c>
      <c r="M181" s="5">
        <v>130</v>
      </c>
    </row>
    <row r="182" spans="1:13" ht="18" customHeight="1" x14ac:dyDescent="0.35">
      <c r="A182" s="27" t="s">
        <v>450</v>
      </c>
      <c r="B182" s="7" t="s">
        <v>451</v>
      </c>
      <c r="C182" s="3" t="str">
        <f>PROPER(TRIM(Table3[[#This Row],[Column1]]))</f>
        <v>Raja Mani</v>
      </c>
      <c r="D182" s="6">
        <v>57</v>
      </c>
      <c r="E182" s="6" t="s">
        <v>15</v>
      </c>
      <c r="F182" s="7" t="s">
        <v>27</v>
      </c>
      <c r="G182" s="8">
        <v>45476</v>
      </c>
      <c r="H182" s="7" t="s">
        <v>17</v>
      </c>
      <c r="I182" s="7" t="s">
        <v>23</v>
      </c>
      <c r="J182" s="7" t="s">
        <v>154</v>
      </c>
      <c r="K182" s="7" t="s">
        <v>66</v>
      </c>
      <c r="L182" s="9">
        <v>750</v>
      </c>
      <c r="M182" s="9">
        <v>640</v>
      </c>
    </row>
    <row r="183" spans="1:13" ht="18" customHeight="1" x14ac:dyDescent="0.35">
      <c r="A183" s="26" t="s">
        <v>452</v>
      </c>
      <c r="B183" s="3" t="s">
        <v>453</v>
      </c>
      <c r="C183" s="3" t="str">
        <f>PROPER(TRIM(Table3[[#This Row],[Column1]]))</f>
        <v>Suba Patel</v>
      </c>
      <c r="D183" s="2">
        <v>31</v>
      </c>
      <c r="E183" s="2" t="s">
        <v>34</v>
      </c>
      <c r="F183" s="3" t="s">
        <v>27</v>
      </c>
      <c r="G183" s="4">
        <v>45163</v>
      </c>
      <c r="H183" s="3" t="s">
        <v>42</v>
      </c>
      <c r="I183" s="3" t="s">
        <v>70</v>
      </c>
      <c r="J183" s="3" t="s">
        <v>85</v>
      </c>
      <c r="K183" s="3" t="s">
        <v>129</v>
      </c>
      <c r="L183" s="5">
        <v>450</v>
      </c>
      <c r="M183" s="5">
        <v>190</v>
      </c>
    </row>
    <row r="184" spans="1:13" ht="18" customHeight="1" x14ac:dyDescent="0.35">
      <c r="A184" s="27" t="s">
        <v>454</v>
      </c>
      <c r="B184" s="7" t="s">
        <v>455</v>
      </c>
      <c r="C184" s="3" t="str">
        <f>PROPER(TRIM(Table3[[#This Row],[Column1]]))</f>
        <v>Tamil Chandran</v>
      </c>
      <c r="D184" s="6">
        <v>72</v>
      </c>
      <c r="E184" s="6" t="s">
        <v>34</v>
      </c>
      <c r="F184" s="7" t="s">
        <v>16</v>
      </c>
      <c r="G184" s="8">
        <v>45311</v>
      </c>
      <c r="H184" s="7" t="s">
        <v>48</v>
      </c>
      <c r="I184" s="7" t="s">
        <v>54</v>
      </c>
      <c r="J184" s="7" t="s">
        <v>55</v>
      </c>
      <c r="K184" s="7" t="s">
        <v>114</v>
      </c>
      <c r="L184" s="9">
        <v>800</v>
      </c>
      <c r="M184" s="9">
        <v>180</v>
      </c>
    </row>
    <row r="185" spans="1:13" ht="18" customHeight="1" x14ac:dyDescent="0.35">
      <c r="A185" s="26" t="s">
        <v>456</v>
      </c>
      <c r="B185" s="3" t="s">
        <v>457</v>
      </c>
      <c r="C185" s="3" t="str">
        <f>PROPER(TRIM(Table3[[#This Row],[Column1]]))</f>
        <v>Vani Balan</v>
      </c>
      <c r="D185" s="2">
        <v>68</v>
      </c>
      <c r="E185" s="2" t="s">
        <v>15</v>
      </c>
      <c r="F185" s="3" t="s">
        <v>69</v>
      </c>
      <c r="G185" s="4">
        <v>45278</v>
      </c>
      <c r="H185" s="3" t="s">
        <v>42</v>
      </c>
      <c r="I185" s="3" t="s">
        <v>43</v>
      </c>
      <c r="J185" s="3" t="s">
        <v>85</v>
      </c>
      <c r="K185" s="3" t="s">
        <v>129</v>
      </c>
      <c r="L185" s="5">
        <v>300</v>
      </c>
      <c r="M185" s="5">
        <v>370</v>
      </c>
    </row>
    <row r="186" spans="1:13" ht="18" customHeight="1" x14ac:dyDescent="0.35">
      <c r="A186" s="27" t="s">
        <v>458</v>
      </c>
      <c r="B186" s="7" t="s">
        <v>459</v>
      </c>
      <c r="C186" s="3" t="str">
        <f>PROPER(TRIM(Table3[[#This Row],[Column1]]))</f>
        <v>Yamuna Pillai</v>
      </c>
      <c r="D186" s="6">
        <v>15</v>
      </c>
      <c r="E186" s="6" t="s">
        <v>15</v>
      </c>
      <c r="F186" s="7" t="s">
        <v>80</v>
      </c>
      <c r="G186" s="8">
        <v>45261</v>
      </c>
      <c r="H186" s="7" t="s">
        <v>17</v>
      </c>
      <c r="I186" s="7" t="s">
        <v>64</v>
      </c>
      <c r="J186" s="7" t="s">
        <v>147</v>
      </c>
      <c r="K186" s="7" t="s">
        <v>24</v>
      </c>
      <c r="L186" s="9">
        <v>1150</v>
      </c>
      <c r="M186" s="9">
        <v>600</v>
      </c>
    </row>
    <row r="187" spans="1:13" ht="18" customHeight="1" x14ac:dyDescent="0.35">
      <c r="A187" s="26" t="s">
        <v>460</v>
      </c>
      <c r="B187" s="3" t="s">
        <v>461</v>
      </c>
      <c r="C187" s="3" t="str">
        <f>PROPER(TRIM(Table3[[#This Row],[Column1]]))</f>
        <v>Abinaya Singh</v>
      </c>
      <c r="D187" s="2">
        <v>6</v>
      </c>
      <c r="E187" s="2" t="s">
        <v>34</v>
      </c>
      <c r="F187" s="3" t="s">
        <v>16</v>
      </c>
      <c r="G187" s="4">
        <v>45286</v>
      </c>
      <c r="H187" s="3" t="s">
        <v>36</v>
      </c>
      <c r="I187" s="3" t="s">
        <v>37</v>
      </c>
      <c r="J187" s="3" t="s">
        <v>104</v>
      </c>
      <c r="K187" s="3" t="s">
        <v>133</v>
      </c>
      <c r="L187" s="5">
        <v>600</v>
      </c>
      <c r="M187" s="5">
        <v>220</v>
      </c>
    </row>
    <row r="188" spans="1:13" ht="18" customHeight="1" x14ac:dyDescent="0.35">
      <c r="A188" s="27" t="s">
        <v>462</v>
      </c>
      <c r="B188" s="7" t="s">
        <v>463</v>
      </c>
      <c r="C188" s="3" t="str">
        <f>PROPER(TRIM(Table3[[#This Row],[Column1]]))</f>
        <v>Boopathi Subramanian</v>
      </c>
      <c r="D188" s="6">
        <v>4</v>
      </c>
      <c r="E188" s="6" t="s">
        <v>34</v>
      </c>
      <c r="F188" s="7" t="s">
        <v>80</v>
      </c>
      <c r="G188" s="8">
        <v>45479</v>
      </c>
      <c r="H188" s="7" t="s">
        <v>48</v>
      </c>
      <c r="I188" s="7" t="s">
        <v>93</v>
      </c>
      <c r="J188" s="7" t="s">
        <v>94</v>
      </c>
      <c r="K188" s="7" t="s">
        <v>56</v>
      </c>
      <c r="L188" s="9">
        <v>850</v>
      </c>
      <c r="M188" s="9">
        <v>480</v>
      </c>
    </row>
    <row r="189" spans="1:13" ht="18" customHeight="1" x14ac:dyDescent="0.35">
      <c r="A189" s="26" t="s">
        <v>464</v>
      </c>
      <c r="B189" s="3" t="s">
        <v>465</v>
      </c>
      <c r="C189" s="3" t="str">
        <f>PROPER(TRIM(Table3[[#This Row],[Column1]]))</f>
        <v>Chelvi Verma</v>
      </c>
      <c r="D189" s="2">
        <v>5</v>
      </c>
      <c r="E189" s="2" t="s">
        <v>34</v>
      </c>
      <c r="F189" s="3" t="s">
        <v>107</v>
      </c>
      <c r="G189" s="4">
        <v>45436</v>
      </c>
      <c r="H189" s="3" t="s">
        <v>42</v>
      </c>
      <c r="I189" s="3" t="s">
        <v>70</v>
      </c>
      <c r="J189" s="3" t="s">
        <v>71</v>
      </c>
      <c r="K189" s="3" t="s">
        <v>129</v>
      </c>
      <c r="L189" s="5">
        <v>400</v>
      </c>
      <c r="M189" s="5">
        <v>180</v>
      </c>
    </row>
    <row r="190" spans="1:13" ht="18" customHeight="1" x14ac:dyDescent="0.35">
      <c r="A190" s="27" t="s">
        <v>466</v>
      </c>
      <c r="B190" s="7" t="s">
        <v>467</v>
      </c>
      <c r="C190" s="3" t="str">
        <f>PROPER(TRIM(Table3[[#This Row],[Column1]]))</f>
        <v>Deva Subramanian</v>
      </c>
      <c r="D190" s="6">
        <v>73</v>
      </c>
      <c r="E190" s="6" t="s">
        <v>15</v>
      </c>
      <c r="F190" s="7" t="s">
        <v>16</v>
      </c>
      <c r="G190" s="8">
        <v>45042</v>
      </c>
      <c r="H190" s="7" t="s">
        <v>42</v>
      </c>
      <c r="I190" s="7" t="s">
        <v>89</v>
      </c>
      <c r="J190" s="7" t="s">
        <v>136</v>
      </c>
      <c r="K190" s="7" t="s">
        <v>197</v>
      </c>
      <c r="L190" s="9">
        <v>450</v>
      </c>
      <c r="M190" s="9">
        <v>190</v>
      </c>
    </row>
    <row r="191" spans="1:13" ht="18" customHeight="1" x14ac:dyDescent="0.35">
      <c r="A191" s="26" t="s">
        <v>468</v>
      </c>
      <c r="B191" s="3" t="s">
        <v>469</v>
      </c>
      <c r="C191" s="3" t="str">
        <f>PROPER(TRIM(Table3[[#This Row],[Column1]]))</f>
        <v>Elaya Mani</v>
      </c>
      <c r="D191" s="2">
        <v>69</v>
      </c>
      <c r="E191" s="2" t="s">
        <v>15</v>
      </c>
      <c r="F191" s="3" t="s">
        <v>107</v>
      </c>
      <c r="G191" s="4">
        <v>45580</v>
      </c>
      <c r="H191" s="3" t="s">
        <v>17</v>
      </c>
      <c r="I191" s="3" t="s">
        <v>23</v>
      </c>
      <c r="J191" s="3" t="s">
        <v>154</v>
      </c>
      <c r="K191" s="3" t="s">
        <v>148</v>
      </c>
      <c r="L191" s="5">
        <v>1050</v>
      </c>
      <c r="M191" s="5">
        <v>790</v>
      </c>
    </row>
    <row r="192" spans="1:13" ht="18" customHeight="1" x14ac:dyDescent="0.35">
      <c r="A192" s="27" t="s">
        <v>470</v>
      </c>
      <c r="B192" s="7" t="s">
        <v>471</v>
      </c>
      <c r="C192" s="3" t="str">
        <f>PROPER(TRIM(Table3[[#This Row],[Column1]]))</f>
        <v>Guru Pandian</v>
      </c>
      <c r="D192" s="6">
        <v>18</v>
      </c>
      <c r="E192" s="6" t="s">
        <v>34</v>
      </c>
      <c r="F192" s="7" t="s">
        <v>107</v>
      </c>
      <c r="G192" s="8">
        <v>45537</v>
      </c>
      <c r="H192" s="7" t="s">
        <v>42</v>
      </c>
      <c r="I192" s="7" t="s">
        <v>89</v>
      </c>
      <c r="J192" s="7" t="s">
        <v>85</v>
      </c>
      <c r="K192" s="7" t="s">
        <v>45</v>
      </c>
      <c r="L192" s="9">
        <v>350</v>
      </c>
      <c r="M192" s="9">
        <v>310</v>
      </c>
    </row>
    <row r="193" spans="1:13" ht="18" customHeight="1" x14ac:dyDescent="0.35">
      <c r="A193" s="26" t="s">
        <v>472</v>
      </c>
      <c r="B193" s="3" t="s">
        <v>473</v>
      </c>
      <c r="C193" s="3" t="str">
        <f>PROPER(TRIM(Table3[[#This Row],[Column1]]))</f>
        <v>Haran Iyer</v>
      </c>
      <c r="D193" s="2">
        <v>36</v>
      </c>
      <c r="E193" s="2" t="s">
        <v>34</v>
      </c>
      <c r="F193" s="3" t="s">
        <v>69</v>
      </c>
      <c r="G193" s="4">
        <v>44991</v>
      </c>
      <c r="H193" s="3" t="s">
        <v>17</v>
      </c>
      <c r="I193" s="3" t="s">
        <v>23</v>
      </c>
      <c r="J193" s="3" t="s">
        <v>147</v>
      </c>
      <c r="K193" s="3" t="s">
        <v>226</v>
      </c>
      <c r="L193" s="5">
        <v>950</v>
      </c>
      <c r="M193" s="5">
        <v>600</v>
      </c>
    </row>
    <row r="194" spans="1:13" ht="18" customHeight="1" x14ac:dyDescent="0.35">
      <c r="A194" s="27" t="s">
        <v>474</v>
      </c>
      <c r="B194" s="7" t="s">
        <v>475</v>
      </c>
      <c r="C194" s="3" t="str">
        <f>PROPER(TRIM(Table3[[#This Row],[Column1]]))</f>
        <v>Ilavarsi Verma</v>
      </c>
      <c r="D194" s="6">
        <v>65</v>
      </c>
      <c r="E194" s="6" t="s">
        <v>15</v>
      </c>
      <c r="F194" s="7" t="s">
        <v>69</v>
      </c>
      <c r="G194" s="8">
        <v>45306</v>
      </c>
      <c r="H194" s="7" t="s">
        <v>17</v>
      </c>
      <c r="I194" s="7" t="s">
        <v>23</v>
      </c>
      <c r="J194" s="7" t="s">
        <v>147</v>
      </c>
      <c r="K194" s="7" t="s">
        <v>24</v>
      </c>
      <c r="L194" s="9">
        <v>1050</v>
      </c>
      <c r="M194" s="9">
        <v>480</v>
      </c>
    </row>
    <row r="195" spans="1:13" ht="18" customHeight="1" x14ac:dyDescent="0.35">
      <c r="A195" s="26" t="s">
        <v>476</v>
      </c>
      <c r="B195" s="3" t="s">
        <v>477</v>
      </c>
      <c r="C195" s="3" t="str">
        <f>PROPER(TRIM(Table3[[#This Row],[Column1]]))</f>
        <v>Jeeva Murugan</v>
      </c>
      <c r="D195" s="2">
        <v>53</v>
      </c>
      <c r="E195" s="2" t="s">
        <v>15</v>
      </c>
      <c r="F195" s="3" t="s">
        <v>80</v>
      </c>
      <c r="G195" s="4">
        <v>45315</v>
      </c>
      <c r="H195" s="3" t="s">
        <v>17</v>
      </c>
      <c r="I195" s="3" t="s">
        <v>23</v>
      </c>
      <c r="J195" s="3" t="s">
        <v>19</v>
      </c>
      <c r="K195" s="3" t="s">
        <v>24</v>
      </c>
      <c r="L195" s="5">
        <v>900</v>
      </c>
      <c r="M195" s="5">
        <v>600</v>
      </c>
    </row>
    <row r="196" spans="1:13" ht="18" customHeight="1" x14ac:dyDescent="0.35">
      <c r="A196" s="27" t="s">
        <v>478</v>
      </c>
      <c r="B196" s="7" t="s">
        <v>479</v>
      </c>
      <c r="C196" s="3" t="str">
        <f>PROPER(TRIM(Table3[[#This Row],[Column1]]))</f>
        <v>Kavi Mani</v>
      </c>
      <c r="D196" s="6">
        <v>33</v>
      </c>
      <c r="E196" s="6" t="s">
        <v>15</v>
      </c>
      <c r="F196" s="7" t="s">
        <v>16</v>
      </c>
      <c r="G196" s="8">
        <v>45350</v>
      </c>
      <c r="H196" s="7" t="s">
        <v>42</v>
      </c>
      <c r="I196" s="7" t="s">
        <v>70</v>
      </c>
      <c r="J196" s="7" t="s">
        <v>44</v>
      </c>
      <c r="K196" s="7" t="s">
        <v>197</v>
      </c>
      <c r="L196" s="9">
        <v>400</v>
      </c>
      <c r="M196" s="9">
        <v>350</v>
      </c>
    </row>
    <row r="197" spans="1:13" ht="18" customHeight="1" x14ac:dyDescent="0.35">
      <c r="A197" s="26" t="s">
        <v>480</v>
      </c>
      <c r="B197" s="3" t="s">
        <v>481</v>
      </c>
      <c r="C197" s="3" t="str">
        <f>PROPER(TRIM(Table3[[#This Row],[Column1]]))</f>
        <v>Aarav Mani</v>
      </c>
      <c r="D197" s="2">
        <v>51</v>
      </c>
      <c r="E197" s="2" t="s">
        <v>34</v>
      </c>
      <c r="F197" s="3" t="s">
        <v>80</v>
      </c>
      <c r="G197" s="4">
        <v>45154</v>
      </c>
      <c r="H197" s="3" t="s">
        <v>42</v>
      </c>
      <c r="I197" s="3" t="s">
        <v>43</v>
      </c>
      <c r="J197" s="3" t="s">
        <v>110</v>
      </c>
      <c r="K197" s="3" t="s">
        <v>90</v>
      </c>
      <c r="L197" s="5">
        <v>500</v>
      </c>
      <c r="M197" s="5">
        <v>310</v>
      </c>
    </row>
    <row r="198" spans="1:13" ht="18" customHeight="1" x14ac:dyDescent="0.35">
      <c r="A198" s="27" t="s">
        <v>482</v>
      </c>
      <c r="B198" s="7" t="s">
        <v>483</v>
      </c>
      <c r="C198" s="3" t="str">
        <f>PROPER(TRIM(Table3[[#This Row],[Column1]]))</f>
        <v>Bhavya Pandian</v>
      </c>
      <c r="D198" s="6">
        <v>18</v>
      </c>
      <c r="E198" s="6" t="s">
        <v>34</v>
      </c>
      <c r="F198" s="7" t="s">
        <v>27</v>
      </c>
      <c r="G198" s="8">
        <v>45194</v>
      </c>
      <c r="H198" s="7" t="s">
        <v>36</v>
      </c>
      <c r="I198" s="7" t="s">
        <v>75</v>
      </c>
      <c r="J198" s="7" t="s">
        <v>104</v>
      </c>
      <c r="K198" s="7" t="s">
        <v>82</v>
      </c>
      <c r="L198" s="9">
        <v>900</v>
      </c>
      <c r="M198" s="9">
        <v>230</v>
      </c>
    </row>
    <row r="199" spans="1:13" ht="18" customHeight="1" x14ac:dyDescent="0.35">
      <c r="A199" s="26" t="s">
        <v>484</v>
      </c>
      <c r="B199" s="3" t="s">
        <v>485</v>
      </c>
      <c r="C199" s="3" t="str">
        <f>PROPER(TRIM(Table3[[#This Row],[Column1]]))</f>
        <v>Chirag Pandian</v>
      </c>
      <c r="D199" s="2">
        <v>44</v>
      </c>
      <c r="E199" s="2" t="s">
        <v>34</v>
      </c>
      <c r="F199" s="3" t="s">
        <v>69</v>
      </c>
      <c r="G199" s="4">
        <v>45641</v>
      </c>
      <c r="H199" s="3" t="s">
        <v>48</v>
      </c>
      <c r="I199" s="3" t="s">
        <v>54</v>
      </c>
      <c r="J199" s="3" t="s">
        <v>50</v>
      </c>
      <c r="K199" s="3" t="s">
        <v>141</v>
      </c>
      <c r="L199" s="5">
        <v>600</v>
      </c>
      <c r="M199" s="5">
        <v>320</v>
      </c>
    </row>
    <row r="200" spans="1:13" ht="18" customHeight="1" x14ac:dyDescent="0.35">
      <c r="A200" s="27" t="s">
        <v>486</v>
      </c>
      <c r="B200" s="7" t="s">
        <v>487</v>
      </c>
      <c r="C200" s="3" t="str">
        <f>PROPER(TRIM(Table3[[#This Row],[Column1]]))</f>
        <v>Deepa Mani</v>
      </c>
      <c r="D200" s="6">
        <v>13</v>
      </c>
      <c r="E200" s="6" t="s">
        <v>34</v>
      </c>
      <c r="F200" s="7" t="s">
        <v>80</v>
      </c>
      <c r="G200" s="8">
        <v>45135</v>
      </c>
      <c r="H200" s="7" t="s">
        <v>48</v>
      </c>
      <c r="I200" s="7" t="s">
        <v>49</v>
      </c>
      <c r="J200" s="7" t="s">
        <v>55</v>
      </c>
      <c r="K200" s="7" t="s">
        <v>51</v>
      </c>
      <c r="L200" s="9">
        <v>850</v>
      </c>
      <c r="M200" s="9">
        <v>290</v>
      </c>
    </row>
    <row r="201" spans="1:13" ht="18" customHeight="1" x14ac:dyDescent="0.35">
      <c r="A201" s="26" t="s">
        <v>488</v>
      </c>
      <c r="B201" s="3" t="s">
        <v>489</v>
      </c>
      <c r="C201" s="3" t="str">
        <f>PROPER(TRIM(Table3[[#This Row],[Column1]]))</f>
        <v>Elan Raja</v>
      </c>
      <c r="D201" s="2">
        <v>17</v>
      </c>
      <c r="E201" s="2" t="s">
        <v>15</v>
      </c>
      <c r="F201" s="3" t="s">
        <v>27</v>
      </c>
      <c r="G201" s="4">
        <v>45538</v>
      </c>
      <c r="H201" s="3" t="s">
        <v>42</v>
      </c>
      <c r="I201" s="3" t="s">
        <v>89</v>
      </c>
      <c r="J201" s="3" t="s">
        <v>136</v>
      </c>
      <c r="K201" s="3" t="s">
        <v>86</v>
      </c>
      <c r="L201" s="5">
        <v>400</v>
      </c>
      <c r="M201" s="5">
        <v>300</v>
      </c>
    </row>
    <row r="202" spans="1:13" ht="18" customHeight="1" x14ac:dyDescent="0.35">
      <c r="A202" s="27" t="s">
        <v>490</v>
      </c>
      <c r="B202" s="7" t="s">
        <v>491</v>
      </c>
      <c r="C202" s="3" t="str">
        <f>PROPER(TRIM(Table3[[#This Row],[Column1]]))</f>
        <v>Fatima Narayanan</v>
      </c>
      <c r="D202" s="6">
        <v>76</v>
      </c>
      <c r="E202" s="6" t="s">
        <v>34</v>
      </c>
      <c r="F202" s="7" t="s">
        <v>80</v>
      </c>
      <c r="G202" s="8">
        <v>45590</v>
      </c>
      <c r="H202" s="7" t="s">
        <v>28</v>
      </c>
      <c r="I202" s="7" t="s">
        <v>29</v>
      </c>
      <c r="J202" s="7" t="s">
        <v>174</v>
      </c>
      <c r="K202" s="7" t="s">
        <v>298</v>
      </c>
      <c r="L202" s="9">
        <v>650</v>
      </c>
      <c r="M202" s="9">
        <v>210</v>
      </c>
    </row>
    <row r="203" spans="1:13" ht="18" customHeight="1" x14ac:dyDescent="0.35">
      <c r="A203" s="26" t="s">
        <v>492</v>
      </c>
      <c r="B203" s="3" t="s">
        <v>493</v>
      </c>
      <c r="C203" s="3" t="str">
        <f>PROPER(TRIM(Table3[[#This Row],[Column1]]))</f>
        <v>Ganesh Menon</v>
      </c>
      <c r="D203" s="2">
        <v>6</v>
      </c>
      <c r="E203" s="2" t="s">
        <v>15</v>
      </c>
      <c r="F203" s="3" t="s">
        <v>80</v>
      </c>
      <c r="G203" s="4">
        <v>45140</v>
      </c>
      <c r="H203" s="3" t="s">
        <v>48</v>
      </c>
      <c r="I203" s="3" t="s">
        <v>54</v>
      </c>
      <c r="J203" s="3" t="s">
        <v>151</v>
      </c>
      <c r="K203" s="3" t="s">
        <v>51</v>
      </c>
      <c r="L203" s="5">
        <v>800</v>
      </c>
      <c r="M203" s="5">
        <v>240</v>
      </c>
    </row>
    <row r="204" spans="1:13" ht="18" customHeight="1" x14ac:dyDescent="0.35">
      <c r="A204" s="27" t="s">
        <v>494</v>
      </c>
      <c r="B204" s="7" t="s">
        <v>495</v>
      </c>
      <c r="C204" s="3" t="str">
        <f>PROPER(TRIM(Table3[[#This Row],[Column1]]))</f>
        <v>Heena Murugan</v>
      </c>
      <c r="D204" s="6">
        <v>74</v>
      </c>
      <c r="E204" s="6" t="s">
        <v>15</v>
      </c>
      <c r="F204" s="7" t="s">
        <v>27</v>
      </c>
      <c r="G204" s="8">
        <v>45161</v>
      </c>
      <c r="H204" s="7" t="s">
        <v>48</v>
      </c>
      <c r="I204" s="7" t="s">
        <v>93</v>
      </c>
      <c r="J204" s="7" t="s">
        <v>94</v>
      </c>
      <c r="K204" s="7" t="s">
        <v>95</v>
      </c>
      <c r="L204" s="9">
        <v>600</v>
      </c>
      <c r="M204" s="9">
        <v>210</v>
      </c>
    </row>
    <row r="205" spans="1:13" ht="18" customHeight="1" x14ac:dyDescent="0.35">
      <c r="A205" s="26" t="s">
        <v>496</v>
      </c>
      <c r="B205" s="3" t="s">
        <v>497</v>
      </c>
      <c r="C205" s="3" t="str">
        <f>PROPER(TRIM(Table3[[#This Row],[Column1]]))</f>
        <v>Ishaan Patel</v>
      </c>
      <c r="D205" s="2">
        <v>4</v>
      </c>
      <c r="E205" s="2" t="s">
        <v>15</v>
      </c>
      <c r="F205" s="3" t="s">
        <v>80</v>
      </c>
      <c r="G205" s="4">
        <v>45204</v>
      </c>
      <c r="H205" s="3" t="s">
        <v>17</v>
      </c>
      <c r="I205" s="3" t="s">
        <v>64</v>
      </c>
      <c r="J205" s="3" t="s">
        <v>192</v>
      </c>
      <c r="K205" s="3" t="s">
        <v>148</v>
      </c>
      <c r="L205" s="5">
        <v>1000</v>
      </c>
      <c r="M205" s="5">
        <v>820</v>
      </c>
    </row>
    <row r="206" spans="1:13" ht="18" customHeight="1" x14ac:dyDescent="0.35">
      <c r="A206" s="27" t="s">
        <v>498</v>
      </c>
      <c r="B206" s="7" t="s">
        <v>499</v>
      </c>
      <c r="C206" s="3" t="str">
        <f>PROPER(TRIM(Table3[[#This Row],[Column1]]))</f>
        <v>Jasmine Menon</v>
      </c>
      <c r="D206" s="6">
        <v>46</v>
      </c>
      <c r="E206" s="6" t="s">
        <v>34</v>
      </c>
      <c r="F206" s="7" t="s">
        <v>16</v>
      </c>
      <c r="G206" s="8">
        <v>45068</v>
      </c>
      <c r="H206" s="7" t="s">
        <v>48</v>
      </c>
      <c r="I206" s="7" t="s">
        <v>54</v>
      </c>
      <c r="J206" s="7" t="s">
        <v>257</v>
      </c>
      <c r="K206" s="7" t="s">
        <v>114</v>
      </c>
      <c r="L206" s="9">
        <v>700</v>
      </c>
      <c r="M206" s="9">
        <v>480</v>
      </c>
    </row>
    <row r="207" spans="1:13" ht="18" customHeight="1" x14ac:dyDescent="0.35">
      <c r="A207" s="26" t="s">
        <v>500</v>
      </c>
      <c r="B207" s="3" t="s">
        <v>501</v>
      </c>
      <c r="C207" s="3" t="str">
        <f>PROPER(TRIM(Table3[[#This Row],[Column1]]))</f>
        <v>Karthik Krishnan</v>
      </c>
      <c r="D207" s="2">
        <v>24</v>
      </c>
      <c r="E207" s="2" t="s">
        <v>15</v>
      </c>
      <c r="F207" s="3" t="s">
        <v>27</v>
      </c>
      <c r="G207" s="4">
        <v>45413</v>
      </c>
      <c r="H207" s="3" t="s">
        <v>17</v>
      </c>
      <c r="I207" s="3" t="s">
        <v>64</v>
      </c>
      <c r="J207" s="3" t="s">
        <v>147</v>
      </c>
      <c r="K207" s="3" t="s">
        <v>148</v>
      </c>
      <c r="L207" s="5">
        <v>850</v>
      </c>
      <c r="M207" s="5">
        <v>600</v>
      </c>
    </row>
    <row r="208" spans="1:13" ht="18" customHeight="1" x14ac:dyDescent="0.35">
      <c r="A208" s="27" t="s">
        <v>502</v>
      </c>
      <c r="B208" s="7" t="s">
        <v>503</v>
      </c>
      <c r="C208" s="3" t="str">
        <f>PROPER(TRIM(Table3[[#This Row],[Column1]]))</f>
        <v>Lavanya Kumar</v>
      </c>
      <c r="D208" s="6">
        <v>72</v>
      </c>
      <c r="E208" s="6" t="s">
        <v>34</v>
      </c>
      <c r="F208" s="7" t="s">
        <v>35</v>
      </c>
      <c r="G208" s="8">
        <v>45010</v>
      </c>
      <c r="H208" s="7" t="s">
        <v>42</v>
      </c>
      <c r="I208" s="7" t="s">
        <v>43</v>
      </c>
      <c r="J208" s="7" t="s">
        <v>71</v>
      </c>
      <c r="K208" s="7" t="s">
        <v>45</v>
      </c>
      <c r="L208" s="9">
        <v>450</v>
      </c>
      <c r="M208" s="9">
        <v>120</v>
      </c>
    </row>
    <row r="209" spans="1:13" ht="18" customHeight="1" x14ac:dyDescent="0.35">
      <c r="A209" s="26" t="s">
        <v>504</v>
      </c>
      <c r="B209" s="3" t="s">
        <v>505</v>
      </c>
      <c r="C209" s="3" t="str">
        <f>PROPER(TRIM(Table3[[#This Row],[Column1]]))</f>
        <v>Mohan Mani</v>
      </c>
      <c r="D209" s="2">
        <v>41</v>
      </c>
      <c r="E209" s="2" t="s">
        <v>15</v>
      </c>
      <c r="F209" s="3" t="s">
        <v>16</v>
      </c>
      <c r="G209" s="4">
        <v>45440</v>
      </c>
      <c r="H209" s="3" t="s">
        <v>17</v>
      </c>
      <c r="I209" s="3" t="s">
        <v>23</v>
      </c>
      <c r="J209" s="3" t="s">
        <v>65</v>
      </c>
      <c r="K209" s="3" t="s">
        <v>148</v>
      </c>
      <c r="L209" s="5">
        <v>1000</v>
      </c>
      <c r="M209" s="5">
        <v>820</v>
      </c>
    </row>
    <row r="210" spans="1:13" ht="18" customHeight="1" x14ac:dyDescent="0.35">
      <c r="A210" s="27" t="s">
        <v>506</v>
      </c>
      <c r="B210" s="7" t="s">
        <v>507</v>
      </c>
      <c r="C210" s="3" t="str">
        <f>PROPER(TRIM(Table3[[#This Row],[Column1]]))</f>
        <v>Nisha Krishnan</v>
      </c>
      <c r="D210" s="6">
        <v>25</v>
      </c>
      <c r="E210" s="6" t="s">
        <v>15</v>
      </c>
      <c r="F210" s="7" t="s">
        <v>35</v>
      </c>
      <c r="G210" s="8">
        <v>45340</v>
      </c>
      <c r="H210" s="7" t="s">
        <v>36</v>
      </c>
      <c r="I210" s="7" t="s">
        <v>37</v>
      </c>
      <c r="J210" s="7" t="s">
        <v>104</v>
      </c>
      <c r="K210" s="7" t="s">
        <v>189</v>
      </c>
      <c r="L210" s="9">
        <v>700</v>
      </c>
      <c r="M210" s="9">
        <v>500</v>
      </c>
    </row>
    <row r="211" spans="1:13" ht="18" customHeight="1" x14ac:dyDescent="0.35">
      <c r="A211" s="26" t="s">
        <v>508</v>
      </c>
      <c r="B211" s="3" t="s">
        <v>509</v>
      </c>
      <c r="C211" s="3" t="str">
        <f>PROPER(TRIM(Table3[[#This Row],[Column1]]))</f>
        <v>Omkar Raja</v>
      </c>
      <c r="D211" s="2">
        <v>41</v>
      </c>
      <c r="E211" s="2" t="s">
        <v>15</v>
      </c>
      <c r="F211" s="3" t="s">
        <v>35</v>
      </c>
      <c r="G211" s="4">
        <v>45620</v>
      </c>
      <c r="H211" s="3" t="s">
        <v>42</v>
      </c>
      <c r="I211" s="3" t="s">
        <v>43</v>
      </c>
      <c r="J211" s="3" t="s">
        <v>110</v>
      </c>
      <c r="K211" s="3" t="s">
        <v>86</v>
      </c>
      <c r="L211" s="5">
        <v>450</v>
      </c>
      <c r="M211" s="5">
        <v>400</v>
      </c>
    </row>
    <row r="212" spans="1:13" ht="18" customHeight="1" x14ac:dyDescent="0.35">
      <c r="A212" s="27" t="s">
        <v>510</v>
      </c>
      <c r="B212" s="7" t="s">
        <v>511</v>
      </c>
      <c r="C212" s="3" t="str">
        <f>PROPER(TRIM(Table3[[#This Row],[Column1]]))</f>
        <v>Preethi Verma</v>
      </c>
      <c r="D212" s="6">
        <v>9</v>
      </c>
      <c r="E212" s="6" t="s">
        <v>34</v>
      </c>
      <c r="F212" s="7" t="s">
        <v>35</v>
      </c>
      <c r="G212" s="8">
        <v>45175</v>
      </c>
      <c r="H212" s="7" t="s">
        <v>36</v>
      </c>
      <c r="I212" s="7" t="s">
        <v>75</v>
      </c>
      <c r="J212" s="7" t="s">
        <v>38</v>
      </c>
      <c r="K212" s="7" t="s">
        <v>133</v>
      </c>
      <c r="L212" s="9">
        <v>750</v>
      </c>
      <c r="M212" s="9">
        <v>220</v>
      </c>
    </row>
    <row r="213" spans="1:13" ht="18" customHeight="1" x14ac:dyDescent="0.35">
      <c r="A213" s="26" t="s">
        <v>512</v>
      </c>
      <c r="B213" s="3" t="s">
        <v>513</v>
      </c>
      <c r="C213" s="3" t="str">
        <f>PROPER(TRIM(Table3[[#This Row],[Column1]]))</f>
        <v>Qasim Menon</v>
      </c>
      <c r="D213" s="2">
        <v>60</v>
      </c>
      <c r="E213" s="2" t="s">
        <v>34</v>
      </c>
      <c r="F213" s="3" t="s">
        <v>35</v>
      </c>
      <c r="G213" s="4">
        <v>45457</v>
      </c>
      <c r="H213" s="3" t="s">
        <v>28</v>
      </c>
      <c r="I213" s="3" t="s">
        <v>59</v>
      </c>
      <c r="J213" s="3" t="s">
        <v>123</v>
      </c>
      <c r="K213" s="3" t="s">
        <v>298</v>
      </c>
      <c r="L213" s="5">
        <v>600</v>
      </c>
      <c r="M213" s="5">
        <v>160</v>
      </c>
    </row>
    <row r="214" spans="1:13" ht="18" customHeight="1" x14ac:dyDescent="0.35">
      <c r="A214" s="27" t="s">
        <v>514</v>
      </c>
      <c r="B214" s="7" t="s">
        <v>515</v>
      </c>
      <c r="C214" s="3" t="str">
        <f>PROPER(TRIM(Table3[[#This Row],[Column1]]))</f>
        <v>Rekha Mani</v>
      </c>
      <c r="D214" s="6">
        <v>60</v>
      </c>
      <c r="E214" s="6" t="s">
        <v>34</v>
      </c>
      <c r="F214" s="7" t="s">
        <v>16</v>
      </c>
      <c r="G214" s="8">
        <v>44928</v>
      </c>
      <c r="H214" s="7" t="s">
        <v>28</v>
      </c>
      <c r="I214" s="7" t="s">
        <v>122</v>
      </c>
      <c r="J214" s="7" t="s">
        <v>123</v>
      </c>
      <c r="K214" s="7" t="s">
        <v>31</v>
      </c>
      <c r="L214" s="9">
        <v>550</v>
      </c>
      <c r="M214" s="9">
        <v>260</v>
      </c>
    </row>
    <row r="215" spans="1:13" ht="18" customHeight="1" x14ac:dyDescent="0.35">
      <c r="A215" s="26" t="s">
        <v>516</v>
      </c>
      <c r="B215" s="3" t="s">
        <v>517</v>
      </c>
      <c r="C215" s="3" t="str">
        <f>PROPER(TRIM(Table3[[#This Row],[Column1]]))</f>
        <v>Sanjay Mani</v>
      </c>
      <c r="D215" s="2">
        <v>10</v>
      </c>
      <c r="E215" s="2" t="s">
        <v>34</v>
      </c>
      <c r="F215" s="3" t="s">
        <v>16</v>
      </c>
      <c r="G215" s="4">
        <v>45390</v>
      </c>
      <c r="H215" s="3" t="s">
        <v>42</v>
      </c>
      <c r="I215" s="3" t="s">
        <v>43</v>
      </c>
      <c r="J215" s="3" t="s">
        <v>71</v>
      </c>
      <c r="K215" s="3" t="s">
        <v>86</v>
      </c>
      <c r="L215" s="5">
        <v>400</v>
      </c>
      <c r="M215" s="5">
        <v>320</v>
      </c>
    </row>
    <row r="216" spans="1:13" ht="18" customHeight="1" x14ac:dyDescent="0.35">
      <c r="A216" s="27" t="s">
        <v>518</v>
      </c>
      <c r="B216" s="7" t="s">
        <v>324</v>
      </c>
      <c r="C216" s="3" t="str">
        <f>PROPER(TRIM(Table3[[#This Row],[Column1]]))</f>
        <v>Tanya Iyer</v>
      </c>
      <c r="D216" s="6">
        <v>43</v>
      </c>
      <c r="E216" s="6" t="s">
        <v>15</v>
      </c>
      <c r="F216" s="7" t="s">
        <v>27</v>
      </c>
      <c r="G216" s="8">
        <v>45093</v>
      </c>
      <c r="H216" s="7" t="s">
        <v>28</v>
      </c>
      <c r="I216" s="7" t="s">
        <v>29</v>
      </c>
      <c r="J216" s="7" t="s">
        <v>174</v>
      </c>
      <c r="K216" s="7" t="s">
        <v>371</v>
      </c>
      <c r="L216" s="9">
        <v>500</v>
      </c>
      <c r="M216" s="9">
        <v>210</v>
      </c>
    </row>
    <row r="217" spans="1:13" ht="18" customHeight="1" x14ac:dyDescent="0.35">
      <c r="A217" s="26" t="s">
        <v>519</v>
      </c>
      <c r="B217" s="3" t="s">
        <v>520</v>
      </c>
      <c r="C217" s="3" t="str">
        <f>PROPER(TRIM(Table3[[#This Row],[Column1]]))</f>
        <v>Uday Selvam</v>
      </c>
      <c r="D217" s="2">
        <v>24</v>
      </c>
      <c r="E217" s="2" t="s">
        <v>15</v>
      </c>
      <c r="F217" s="3" t="s">
        <v>35</v>
      </c>
      <c r="G217" s="4">
        <v>45445</v>
      </c>
      <c r="H217" s="3" t="s">
        <v>42</v>
      </c>
      <c r="I217" s="3" t="s">
        <v>70</v>
      </c>
      <c r="J217" s="3" t="s">
        <v>71</v>
      </c>
      <c r="K217" s="3" t="s">
        <v>45</v>
      </c>
      <c r="L217" s="5">
        <v>400</v>
      </c>
      <c r="M217" s="5">
        <v>340</v>
      </c>
    </row>
    <row r="218" spans="1:13" ht="18" customHeight="1" x14ac:dyDescent="0.35">
      <c r="A218" s="27" t="s">
        <v>521</v>
      </c>
      <c r="B218" s="7" t="s">
        <v>522</v>
      </c>
      <c r="C218" s="3" t="str">
        <f>PROPER(TRIM(Table3[[#This Row],[Column1]]))</f>
        <v>Vimala Singh</v>
      </c>
      <c r="D218" s="6">
        <v>56</v>
      </c>
      <c r="E218" s="6" t="s">
        <v>34</v>
      </c>
      <c r="F218" s="7" t="s">
        <v>16</v>
      </c>
      <c r="G218" s="8">
        <v>44928</v>
      </c>
      <c r="H218" s="7" t="s">
        <v>42</v>
      </c>
      <c r="I218" s="7" t="s">
        <v>43</v>
      </c>
      <c r="J218" s="7" t="s">
        <v>136</v>
      </c>
      <c r="K218" s="7" t="s">
        <v>197</v>
      </c>
      <c r="L218" s="9">
        <v>400</v>
      </c>
      <c r="M218" s="9">
        <v>360</v>
      </c>
    </row>
    <row r="219" spans="1:13" ht="18" customHeight="1" x14ac:dyDescent="0.35">
      <c r="A219" s="26" t="s">
        <v>523</v>
      </c>
      <c r="B219" s="3" t="s">
        <v>524</v>
      </c>
      <c r="C219" s="3" t="str">
        <f>PROPER(TRIM(Table3[[#This Row],[Column1]]))</f>
        <v>Wasim Mani</v>
      </c>
      <c r="D219" s="2">
        <v>47</v>
      </c>
      <c r="E219" s="2" t="s">
        <v>15</v>
      </c>
      <c r="F219" s="3" t="s">
        <v>80</v>
      </c>
      <c r="G219" s="4">
        <v>45499</v>
      </c>
      <c r="H219" s="3" t="s">
        <v>28</v>
      </c>
      <c r="I219" s="3" t="s">
        <v>122</v>
      </c>
      <c r="J219" s="3" t="s">
        <v>123</v>
      </c>
      <c r="K219" s="3" t="s">
        <v>61</v>
      </c>
      <c r="L219" s="5">
        <v>450</v>
      </c>
      <c r="M219" s="5">
        <v>210</v>
      </c>
    </row>
    <row r="220" spans="1:13" ht="18" customHeight="1" x14ac:dyDescent="0.35">
      <c r="A220" s="27" t="s">
        <v>525</v>
      </c>
      <c r="B220" s="7" t="s">
        <v>526</v>
      </c>
      <c r="C220" s="3" t="str">
        <f>PROPER(TRIM(Table3[[#This Row],[Column1]]))</f>
        <v>Xena Subramanian</v>
      </c>
      <c r="D220" s="6">
        <v>45</v>
      </c>
      <c r="E220" s="6" t="s">
        <v>34</v>
      </c>
      <c r="F220" s="7" t="s">
        <v>16</v>
      </c>
      <c r="G220" s="8">
        <v>45486</v>
      </c>
      <c r="H220" s="7" t="s">
        <v>42</v>
      </c>
      <c r="I220" s="7" t="s">
        <v>43</v>
      </c>
      <c r="J220" s="7" t="s">
        <v>65</v>
      </c>
      <c r="K220" s="7" t="s">
        <v>86</v>
      </c>
      <c r="L220" s="9">
        <v>350</v>
      </c>
      <c r="M220" s="9">
        <v>130</v>
      </c>
    </row>
    <row r="221" spans="1:13" ht="18" customHeight="1" x14ac:dyDescent="0.35">
      <c r="A221" s="26" t="s">
        <v>527</v>
      </c>
      <c r="B221" s="3" t="s">
        <v>528</v>
      </c>
      <c r="C221" s="3" t="str">
        <f>PROPER(TRIM(Table3[[#This Row],[Column1]]))</f>
        <v>Yogesh Vel</v>
      </c>
      <c r="D221" s="2">
        <v>17</v>
      </c>
      <c r="E221" s="2" t="s">
        <v>34</v>
      </c>
      <c r="F221" s="3" t="s">
        <v>16</v>
      </c>
      <c r="G221" s="4">
        <v>45467</v>
      </c>
      <c r="H221" s="3" t="s">
        <v>42</v>
      </c>
      <c r="I221" s="3" t="s">
        <v>43</v>
      </c>
      <c r="J221" s="3" t="s">
        <v>110</v>
      </c>
      <c r="K221" s="3" t="s">
        <v>129</v>
      </c>
      <c r="L221" s="5">
        <v>450</v>
      </c>
      <c r="M221" s="5">
        <v>140</v>
      </c>
    </row>
    <row r="222" spans="1:13" ht="18" customHeight="1" x14ac:dyDescent="0.35">
      <c r="A222" s="27" t="s">
        <v>529</v>
      </c>
      <c r="B222" s="7" t="s">
        <v>530</v>
      </c>
      <c r="C222" s="3" t="str">
        <f>PROPER(TRIM(Table3[[#This Row],[Column1]]))</f>
        <v>Zara Raja</v>
      </c>
      <c r="D222" s="6">
        <v>19</v>
      </c>
      <c r="E222" s="6" t="s">
        <v>34</v>
      </c>
      <c r="F222" s="7" t="s">
        <v>16</v>
      </c>
      <c r="G222" s="8">
        <v>45017</v>
      </c>
      <c r="H222" s="7" t="s">
        <v>36</v>
      </c>
      <c r="I222" s="7" t="s">
        <v>75</v>
      </c>
      <c r="J222" s="7" t="s">
        <v>144</v>
      </c>
      <c r="K222" s="7" t="s">
        <v>189</v>
      </c>
      <c r="L222" s="9">
        <v>700</v>
      </c>
      <c r="M222" s="9">
        <v>320</v>
      </c>
    </row>
    <row r="223" spans="1:13" ht="18" customHeight="1" x14ac:dyDescent="0.35">
      <c r="A223" s="26" t="s">
        <v>531</v>
      </c>
      <c r="B223" s="3" t="s">
        <v>532</v>
      </c>
      <c r="C223" s="3" t="str">
        <f>PROPER(TRIM(Table3[[#This Row],[Column1]]))</f>
        <v>Arjun Rao</v>
      </c>
      <c r="D223" s="2">
        <v>70</v>
      </c>
      <c r="E223" s="2" t="s">
        <v>15</v>
      </c>
      <c r="F223" s="3" t="s">
        <v>27</v>
      </c>
      <c r="G223" s="4">
        <v>44961</v>
      </c>
      <c r="H223" s="3" t="s">
        <v>36</v>
      </c>
      <c r="I223" s="3" t="s">
        <v>75</v>
      </c>
      <c r="J223" s="3" t="s">
        <v>38</v>
      </c>
      <c r="K223" s="3" t="s">
        <v>39</v>
      </c>
      <c r="L223" s="5">
        <v>750</v>
      </c>
      <c r="M223" s="5">
        <v>500</v>
      </c>
    </row>
    <row r="224" spans="1:13" ht="18" customHeight="1" x14ac:dyDescent="0.35">
      <c r="A224" s="27" t="s">
        <v>533</v>
      </c>
      <c r="B224" s="7" t="s">
        <v>534</v>
      </c>
      <c r="C224" s="3" t="str">
        <f>PROPER(TRIM(Table3[[#This Row],[Column1]]))</f>
        <v>Bhanu Subramanian</v>
      </c>
      <c r="D224" s="6">
        <v>75</v>
      </c>
      <c r="E224" s="6" t="s">
        <v>34</v>
      </c>
      <c r="F224" s="7" t="s">
        <v>35</v>
      </c>
      <c r="G224" s="8">
        <v>45109</v>
      </c>
      <c r="H224" s="7" t="s">
        <v>17</v>
      </c>
      <c r="I224" s="7" t="s">
        <v>23</v>
      </c>
      <c r="J224" s="7" t="s">
        <v>147</v>
      </c>
      <c r="K224" s="7" t="s">
        <v>226</v>
      </c>
      <c r="L224" s="9">
        <v>900</v>
      </c>
      <c r="M224" s="9">
        <v>590</v>
      </c>
    </row>
    <row r="225" spans="1:13" ht="18" customHeight="1" x14ac:dyDescent="0.35">
      <c r="A225" s="26" t="s">
        <v>535</v>
      </c>
      <c r="B225" s="3" t="s">
        <v>536</v>
      </c>
      <c r="C225" s="3" t="str">
        <f>PROPER(TRIM(Table3[[#This Row],[Column1]]))</f>
        <v>Chitra Krishnan</v>
      </c>
      <c r="D225" s="2">
        <v>18</v>
      </c>
      <c r="E225" s="2" t="s">
        <v>34</v>
      </c>
      <c r="F225" s="3" t="s">
        <v>80</v>
      </c>
      <c r="G225" s="4">
        <v>45574</v>
      </c>
      <c r="H225" s="3" t="s">
        <v>36</v>
      </c>
      <c r="I225" s="3" t="s">
        <v>75</v>
      </c>
      <c r="J225" s="3" t="s">
        <v>104</v>
      </c>
      <c r="K225" s="3" t="s">
        <v>82</v>
      </c>
      <c r="L225" s="5">
        <v>1000</v>
      </c>
      <c r="M225" s="5">
        <v>230</v>
      </c>
    </row>
    <row r="226" spans="1:13" ht="18" customHeight="1" x14ac:dyDescent="0.35">
      <c r="A226" s="27" t="s">
        <v>537</v>
      </c>
      <c r="B226" s="7" t="s">
        <v>538</v>
      </c>
      <c r="C226" s="3" t="str">
        <f>PROPER(TRIM(Table3[[#This Row],[Column1]]))</f>
        <v>Dinesh Mani</v>
      </c>
      <c r="D226" s="6">
        <v>27</v>
      </c>
      <c r="E226" s="6" t="s">
        <v>34</v>
      </c>
      <c r="F226" s="7" t="s">
        <v>35</v>
      </c>
      <c r="G226" s="8">
        <v>45007</v>
      </c>
      <c r="H226" s="7" t="s">
        <v>28</v>
      </c>
      <c r="I226" s="7" t="s">
        <v>59</v>
      </c>
      <c r="J226" s="7" t="s">
        <v>60</v>
      </c>
      <c r="K226" s="7" t="s">
        <v>298</v>
      </c>
      <c r="L226" s="9">
        <v>450</v>
      </c>
      <c r="M226" s="9">
        <v>120</v>
      </c>
    </row>
    <row r="227" spans="1:13" ht="18" customHeight="1" x14ac:dyDescent="0.35">
      <c r="A227" s="26" t="s">
        <v>539</v>
      </c>
      <c r="B227" s="3" t="s">
        <v>540</v>
      </c>
      <c r="C227" s="3" t="str">
        <f>PROPER(TRIM(Table3[[#This Row],[Column1]]))</f>
        <v>Esha Murugan</v>
      </c>
      <c r="D227" s="2">
        <v>59</v>
      </c>
      <c r="E227" s="2" t="s">
        <v>15</v>
      </c>
      <c r="F227" s="3" t="s">
        <v>27</v>
      </c>
      <c r="G227" s="4">
        <v>45612</v>
      </c>
      <c r="H227" s="3" t="s">
        <v>17</v>
      </c>
      <c r="I227" s="3" t="s">
        <v>18</v>
      </c>
      <c r="J227" s="3" t="s">
        <v>154</v>
      </c>
      <c r="K227" s="3" t="s">
        <v>226</v>
      </c>
      <c r="L227" s="5">
        <v>1050</v>
      </c>
      <c r="M227" s="5">
        <v>480</v>
      </c>
    </row>
    <row r="228" spans="1:13" ht="18" customHeight="1" x14ac:dyDescent="0.35">
      <c r="A228" s="27" t="s">
        <v>541</v>
      </c>
      <c r="B228" s="7" t="s">
        <v>542</v>
      </c>
      <c r="C228" s="3" t="str">
        <f>PROPER(TRIM(Table3[[#This Row],[Column1]]))</f>
        <v>Farhan Kumar</v>
      </c>
      <c r="D228" s="6">
        <v>27</v>
      </c>
      <c r="E228" s="6" t="s">
        <v>15</v>
      </c>
      <c r="F228" s="7" t="s">
        <v>27</v>
      </c>
      <c r="G228" s="8">
        <v>45402</v>
      </c>
      <c r="H228" s="7" t="s">
        <v>42</v>
      </c>
      <c r="I228" s="7" t="s">
        <v>89</v>
      </c>
      <c r="J228" s="7" t="s">
        <v>110</v>
      </c>
      <c r="K228" s="7" t="s">
        <v>90</v>
      </c>
      <c r="L228" s="9">
        <v>500</v>
      </c>
      <c r="M228" s="9">
        <v>230</v>
      </c>
    </row>
    <row r="229" spans="1:13" ht="18" customHeight="1" x14ac:dyDescent="0.35">
      <c r="A229" s="26" t="s">
        <v>543</v>
      </c>
      <c r="B229" s="3" t="s">
        <v>544</v>
      </c>
      <c r="C229" s="3" t="str">
        <f>PROPER(TRIM(Table3[[#This Row],[Column1]]))</f>
        <v>Geetha Nair</v>
      </c>
      <c r="D229" s="2">
        <v>70</v>
      </c>
      <c r="E229" s="2" t="s">
        <v>34</v>
      </c>
      <c r="F229" s="3" t="s">
        <v>16</v>
      </c>
      <c r="G229" s="4">
        <v>45622</v>
      </c>
      <c r="H229" s="3" t="s">
        <v>28</v>
      </c>
      <c r="I229" s="3" t="s">
        <v>59</v>
      </c>
      <c r="J229" s="3" t="s">
        <v>110</v>
      </c>
      <c r="K229" s="3" t="s">
        <v>298</v>
      </c>
      <c r="L229" s="5">
        <v>700</v>
      </c>
      <c r="M229" s="5">
        <v>140</v>
      </c>
    </row>
    <row r="230" spans="1:13" ht="18" customHeight="1" x14ac:dyDescent="0.35">
      <c r="A230" s="27" t="s">
        <v>545</v>
      </c>
      <c r="B230" s="7" t="s">
        <v>546</v>
      </c>
      <c r="C230" s="3" t="str">
        <f>PROPER(TRIM(Table3[[#This Row],[Column1]]))</f>
        <v>Harish Rajan</v>
      </c>
      <c r="D230" s="6">
        <v>33</v>
      </c>
      <c r="E230" s="6" t="s">
        <v>34</v>
      </c>
      <c r="F230" s="7" t="s">
        <v>107</v>
      </c>
      <c r="G230" s="8">
        <v>45272</v>
      </c>
      <c r="H230" s="7" t="s">
        <v>42</v>
      </c>
      <c r="I230" s="7" t="s">
        <v>43</v>
      </c>
      <c r="J230" s="7" t="s">
        <v>65</v>
      </c>
      <c r="K230" s="7" t="s">
        <v>129</v>
      </c>
      <c r="L230" s="9">
        <v>350</v>
      </c>
      <c r="M230" s="9">
        <v>330</v>
      </c>
    </row>
    <row r="231" spans="1:13" ht="18" customHeight="1" x14ac:dyDescent="0.35">
      <c r="A231" s="26" t="s">
        <v>547</v>
      </c>
      <c r="B231" s="3" t="s">
        <v>548</v>
      </c>
      <c r="C231" s="3" t="str">
        <f>PROPER(TRIM(Table3[[#This Row],[Column1]]))</f>
        <v>Indira Balan</v>
      </c>
      <c r="D231" s="2">
        <v>46</v>
      </c>
      <c r="E231" s="2" t="s">
        <v>34</v>
      </c>
      <c r="F231" s="3" t="s">
        <v>35</v>
      </c>
      <c r="G231" s="4">
        <v>45415</v>
      </c>
      <c r="H231" s="3" t="s">
        <v>36</v>
      </c>
      <c r="I231" s="3" t="s">
        <v>81</v>
      </c>
      <c r="J231" s="3" t="s">
        <v>38</v>
      </c>
      <c r="K231" s="3" t="s">
        <v>133</v>
      </c>
      <c r="L231" s="5">
        <v>1000</v>
      </c>
      <c r="M231" s="5">
        <v>400</v>
      </c>
    </row>
    <row r="232" spans="1:13" ht="18" customHeight="1" x14ac:dyDescent="0.35">
      <c r="A232" s="27" t="s">
        <v>549</v>
      </c>
      <c r="B232" s="7" t="s">
        <v>550</v>
      </c>
      <c r="C232" s="3" t="str">
        <f>PROPER(TRIM(Table3[[#This Row],[Column1]]))</f>
        <v>Jaya Menon</v>
      </c>
      <c r="D232" s="6">
        <v>70</v>
      </c>
      <c r="E232" s="6" t="s">
        <v>15</v>
      </c>
      <c r="F232" s="7" t="s">
        <v>69</v>
      </c>
      <c r="G232" s="8">
        <v>45061</v>
      </c>
      <c r="H232" s="7" t="s">
        <v>48</v>
      </c>
      <c r="I232" s="7" t="s">
        <v>54</v>
      </c>
      <c r="J232" s="7" t="s">
        <v>151</v>
      </c>
      <c r="K232" s="7" t="s">
        <v>95</v>
      </c>
      <c r="L232" s="9">
        <v>550</v>
      </c>
      <c r="M232" s="9">
        <v>240</v>
      </c>
    </row>
    <row r="233" spans="1:13" ht="18" customHeight="1" x14ac:dyDescent="0.35">
      <c r="A233" s="26" t="s">
        <v>551</v>
      </c>
      <c r="B233" s="3" t="s">
        <v>552</v>
      </c>
      <c r="C233" s="3" t="str">
        <f>PROPER(TRIM(Table3[[#This Row],[Column1]]))</f>
        <v>Kiran Kumar</v>
      </c>
      <c r="D233" s="2">
        <v>51</v>
      </c>
      <c r="E233" s="2" t="s">
        <v>15</v>
      </c>
      <c r="F233" s="3" t="s">
        <v>16</v>
      </c>
      <c r="G233" s="4">
        <v>45071</v>
      </c>
      <c r="H233" s="3" t="s">
        <v>17</v>
      </c>
      <c r="I233" s="3" t="s">
        <v>64</v>
      </c>
      <c r="J233" s="3" t="s">
        <v>19</v>
      </c>
      <c r="K233" s="3" t="s">
        <v>24</v>
      </c>
      <c r="L233" s="5">
        <v>1000</v>
      </c>
      <c r="M233" s="5">
        <v>680</v>
      </c>
    </row>
    <row r="234" spans="1:13" ht="18" customHeight="1" x14ac:dyDescent="0.35">
      <c r="A234" s="27" t="s">
        <v>553</v>
      </c>
      <c r="B234" s="7" t="s">
        <v>554</v>
      </c>
      <c r="C234" s="3" t="str">
        <f>PROPER(TRIM(Table3[[#This Row],[Column1]]))</f>
        <v>Latha Rajan</v>
      </c>
      <c r="D234" s="6">
        <v>44</v>
      </c>
      <c r="E234" s="6" t="s">
        <v>15</v>
      </c>
      <c r="F234" s="7" t="s">
        <v>35</v>
      </c>
      <c r="G234" s="8">
        <v>45421</v>
      </c>
      <c r="H234" s="7" t="s">
        <v>42</v>
      </c>
      <c r="I234" s="7" t="s">
        <v>89</v>
      </c>
      <c r="J234" s="7" t="s">
        <v>136</v>
      </c>
      <c r="K234" s="7" t="s">
        <v>197</v>
      </c>
      <c r="L234" s="9">
        <v>300</v>
      </c>
      <c r="M234" s="9">
        <v>340</v>
      </c>
    </row>
    <row r="235" spans="1:13" ht="18" customHeight="1" x14ac:dyDescent="0.35">
      <c r="A235" s="26" t="s">
        <v>555</v>
      </c>
      <c r="B235" s="3" t="s">
        <v>556</v>
      </c>
      <c r="C235" s="3" t="str">
        <f>PROPER(TRIM(Table3[[#This Row],[Column1]]))</f>
        <v>Mani Verma</v>
      </c>
      <c r="D235" s="2">
        <v>31</v>
      </c>
      <c r="E235" s="2" t="s">
        <v>15</v>
      </c>
      <c r="F235" s="3" t="s">
        <v>35</v>
      </c>
      <c r="G235" s="4">
        <v>45367</v>
      </c>
      <c r="H235" s="3" t="s">
        <v>42</v>
      </c>
      <c r="I235" s="3" t="s">
        <v>70</v>
      </c>
      <c r="J235" s="3" t="s">
        <v>136</v>
      </c>
      <c r="K235" s="3" t="s">
        <v>86</v>
      </c>
      <c r="L235" s="5">
        <v>400</v>
      </c>
      <c r="M235" s="5">
        <v>100</v>
      </c>
    </row>
    <row r="236" spans="1:13" ht="18" customHeight="1" x14ac:dyDescent="0.35">
      <c r="A236" s="27" t="s">
        <v>557</v>
      </c>
      <c r="B236" s="7" t="s">
        <v>558</v>
      </c>
      <c r="C236" s="3" t="str">
        <f>PROPER(TRIM(Table3[[#This Row],[Column1]]))</f>
        <v>Nalini Mani</v>
      </c>
      <c r="D236" s="6">
        <v>70</v>
      </c>
      <c r="E236" s="6" t="s">
        <v>15</v>
      </c>
      <c r="F236" s="7" t="s">
        <v>107</v>
      </c>
      <c r="G236" s="8">
        <v>45363</v>
      </c>
      <c r="H236" s="7" t="s">
        <v>42</v>
      </c>
      <c r="I236" s="7" t="s">
        <v>89</v>
      </c>
      <c r="J236" s="7" t="s">
        <v>128</v>
      </c>
      <c r="K236" s="7" t="s">
        <v>72</v>
      </c>
      <c r="L236" s="9">
        <v>350</v>
      </c>
      <c r="M236" s="9">
        <v>340</v>
      </c>
    </row>
    <row r="237" spans="1:13" ht="18" customHeight="1" x14ac:dyDescent="0.35">
      <c r="A237" s="26" t="s">
        <v>559</v>
      </c>
      <c r="B237" s="3" t="s">
        <v>560</v>
      </c>
      <c r="C237" s="3" t="str">
        <f>PROPER(TRIM(Table3[[#This Row],[Column1]]))</f>
        <v>Pavan Vel</v>
      </c>
      <c r="D237" s="2">
        <v>5</v>
      </c>
      <c r="E237" s="2" t="s">
        <v>15</v>
      </c>
      <c r="F237" s="3" t="s">
        <v>107</v>
      </c>
      <c r="G237" s="4">
        <v>44961</v>
      </c>
      <c r="H237" s="3" t="s">
        <v>42</v>
      </c>
      <c r="I237" s="3" t="s">
        <v>89</v>
      </c>
      <c r="J237" s="3" t="s">
        <v>128</v>
      </c>
      <c r="K237" s="3" t="s">
        <v>90</v>
      </c>
      <c r="L237" s="5">
        <v>450</v>
      </c>
      <c r="M237" s="5">
        <v>360</v>
      </c>
    </row>
    <row r="238" spans="1:13" ht="18" customHeight="1" x14ac:dyDescent="0.35">
      <c r="A238" s="27" t="s">
        <v>561</v>
      </c>
      <c r="B238" s="7" t="s">
        <v>562</v>
      </c>
      <c r="C238" s="3" t="str">
        <f>PROPER(TRIM(Table3[[#This Row],[Column1]]))</f>
        <v>Radha Iyer</v>
      </c>
      <c r="D238" s="6">
        <v>60</v>
      </c>
      <c r="E238" s="6" t="s">
        <v>34</v>
      </c>
      <c r="F238" s="7" t="s">
        <v>27</v>
      </c>
      <c r="G238" s="8">
        <v>45524</v>
      </c>
      <c r="H238" s="7" t="s">
        <v>17</v>
      </c>
      <c r="I238" s="7" t="s">
        <v>23</v>
      </c>
      <c r="J238" s="7" t="s">
        <v>192</v>
      </c>
      <c r="K238" s="7" t="s">
        <v>148</v>
      </c>
      <c r="L238" s="9">
        <v>900</v>
      </c>
      <c r="M238" s="9">
        <v>570</v>
      </c>
    </row>
    <row r="239" spans="1:13" ht="18" customHeight="1" x14ac:dyDescent="0.35">
      <c r="A239" s="26" t="s">
        <v>563</v>
      </c>
      <c r="B239" s="3" t="s">
        <v>564</v>
      </c>
      <c r="C239" s="3" t="str">
        <f>PROPER(TRIM(Table3[[#This Row],[Column1]]))</f>
        <v>Suresh Rajan</v>
      </c>
      <c r="D239" s="2">
        <v>55</v>
      </c>
      <c r="E239" s="2" t="s">
        <v>34</v>
      </c>
      <c r="F239" s="3" t="s">
        <v>80</v>
      </c>
      <c r="G239" s="4">
        <v>45482</v>
      </c>
      <c r="H239" s="3" t="s">
        <v>42</v>
      </c>
      <c r="I239" s="3" t="s">
        <v>70</v>
      </c>
      <c r="J239" s="3" t="s">
        <v>65</v>
      </c>
      <c r="K239" s="3" t="s">
        <v>129</v>
      </c>
      <c r="L239" s="5">
        <v>350</v>
      </c>
      <c r="M239" s="5">
        <v>190</v>
      </c>
    </row>
    <row r="240" spans="1:13" ht="18" customHeight="1" x14ac:dyDescent="0.35">
      <c r="A240" s="27" t="s">
        <v>565</v>
      </c>
      <c r="B240" s="7" t="s">
        <v>566</v>
      </c>
      <c r="C240" s="3" t="str">
        <f>PROPER(TRIM(Table3[[#This Row],[Column1]]))</f>
        <v>Thilaga Narayanan</v>
      </c>
      <c r="D240" s="6">
        <v>33</v>
      </c>
      <c r="E240" s="6" t="s">
        <v>34</v>
      </c>
      <c r="F240" s="7" t="s">
        <v>80</v>
      </c>
      <c r="G240" s="8">
        <v>45622</v>
      </c>
      <c r="H240" s="7" t="s">
        <v>42</v>
      </c>
      <c r="I240" s="7" t="s">
        <v>43</v>
      </c>
      <c r="J240" s="7" t="s">
        <v>71</v>
      </c>
      <c r="K240" s="7" t="s">
        <v>72</v>
      </c>
      <c r="L240" s="9">
        <v>350</v>
      </c>
      <c r="M240" s="9">
        <v>360</v>
      </c>
    </row>
    <row r="241" spans="1:13" ht="18" customHeight="1" x14ac:dyDescent="0.35">
      <c r="A241" s="26" t="s">
        <v>567</v>
      </c>
      <c r="B241" s="3" t="s">
        <v>568</v>
      </c>
      <c r="C241" s="3" t="str">
        <f>PROPER(TRIM(Table3[[#This Row],[Column1]]))</f>
        <v>Usha Menon</v>
      </c>
      <c r="D241" s="2">
        <v>37</v>
      </c>
      <c r="E241" s="2" t="s">
        <v>34</v>
      </c>
      <c r="F241" s="3" t="s">
        <v>69</v>
      </c>
      <c r="G241" s="4">
        <v>45362</v>
      </c>
      <c r="H241" s="3" t="s">
        <v>28</v>
      </c>
      <c r="I241" s="3" t="s">
        <v>29</v>
      </c>
      <c r="J241" s="3" t="s">
        <v>110</v>
      </c>
      <c r="K241" s="3" t="s">
        <v>31</v>
      </c>
      <c r="L241" s="5">
        <v>650</v>
      </c>
      <c r="M241" s="5">
        <v>220</v>
      </c>
    </row>
    <row r="242" spans="1:13" ht="18" customHeight="1" x14ac:dyDescent="0.35">
      <c r="A242" s="27" t="s">
        <v>569</v>
      </c>
      <c r="B242" s="7" t="s">
        <v>570</v>
      </c>
      <c r="C242" s="3" t="str">
        <f>PROPER(TRIM(Table3[[#This Row],[Column1]]))</f>
        <v>Venkat Singh</v>
      </c>
      <c r="D242" s="6">
        <v>42</v>
      </c>
      <c r="E242" s="6" t="s">
        <v>15</v>
      </c>
      <c r="F242" s="7" t="s">
        <v>16</v>
      </c>
      <c r="G242" s="8">
        <v>45341</v>
      </c>
      <c r="H242" s="7" t="s">
        <v>42</v>
      </c>
      <c r="I242" s="7" t="s">
        <v>89</v>
      </c>
      <c r="J242" s="7" t="s">
        <v>44</v>
      </c>
      <c r="K242" s="7" t="s">
        <v>45</v>
      </c>
      <c r="L242" s="9">
        <v>300</v>
      </c>
      <c r="M242" s="9">
        <v>120</v>
      </c>
    </row>
    <row r="243" spans="1:13" ht="18" customHeight="1" x14ac:dyDescent="0.35">
      <c r="A243" s="26" t="s">
        <v>571</v>
      </c>
      <c r="B243" s="3" t="s">
        <v>572</v>
      </c>
      <c r="C243" s="3" t="str">
        <f>PROPER(TRIM(Table3[[#This Row],[Column1]]))</f>
        <v>Yamini Vel</v>
      </c>
      <c r="D243" s="2">
        <v>32</v>
      </c>
      <c r="E243" s="2" t="s">
        <v>34</v>
      </c>
      <c r="F243" s="3" t="s">
        <v>16</v>
      </c>
      <c r="G243" s="4">
        <v>45072</v>
      </c>
      <c r="H243" s="3" t="s">
        <v>42</v>
      </c>
      <c r="I243" s="3" t="s">
        <v>89</v>
      </c>
      <c r="J243" s="3" t="s">
        <v>65</v>
      </c>
      <c r="K243" s="3" t="s">
        <v>129</v>
      </c>
      <c r="L243" s="5">
        <v>350</v>
      </c>
      <c r="M243" s="5">
        <v>190</v>
      </c>
    </row>
    <row r="244" spans="1:13" ht="18" customHeight="1" x14ac:dyDescent="0.35">
      <c r="A244" s="27" t="s">
        <v>573</v>
      </c>
      <c r="B244" s="7" t="s">
        <v>574</v>
      </c>
      <c r="C244" s="3" t="str">
        <f>PROPER(TRIM(Table3[[#This Row],[Column1]]))</f>
        <v>Aditya Vel</v>
      </c>
      <c r="D244" s="6">
        <v>33</v>
      </c>
      <c r="E244" s="6" t="s">
        <v>15</v>
      </c>
      <c r="F244" s="7" t="s">
        <v>107</v>
      </c>
      <c r="G244" s="8">
        <v>45384</v>
      </c>
      <c r="H244" s="7" t="s">
        <v>36</v>
      </c>
      <c r="I244" s="7" t="s">
        <v>37</v>
      </c>
      <c r="J244" s="7" t="s">
        <v>104</v>
      </c>
      <c r="K244" s="7" t="s">
        <v>133</v>
      </c>
      <c r="L244" s="9">
        <v>850</v>
      </c>
      <c r="M244" s="9">
        <v>690</v>
      </c>
    </row>
    <row r="245" spans="1:13" ht="18" customHeight="1" x14ac:dyDescent="0.35">
      <c r="A245" s="26" t="s">
        <v>575</v>
      </c>
      <c r="B245" s="3" t="s">
        <v>576</v>
      </c>
      <c r="C245" s="3" t="str">
        <f>PROPER(TRIM(Table3[[#This Row],[Column1]]))</f>
        <v>Bharathi Subramanian</v>
      </c>
      <c r="D245" s="2">
        <v>35</v>
      </c>
      <c r="E245" s="2" t="s">
        <v>15</v>
      </c>
      <c r="F245" s="3" t="s">
        <v>27</v>
      </c>
      <c r="G245" s="4">
        <v>45087</v>
      </c>
      <c r="H245" s="3" t="s">
        <v>48</v>
      </c>
      <c r="I245" s="3" t="s">
        <v>49</v>
      </c>
      <c r="J245" s="3" t="s">
        <v>55</v>
      </c>
      <c r="K245" s="3" t="s">
        <v>56</v>
      </c>
      <c r="L245" s="5">
        <v>550</v>
      </c>
      <c r="M245" s="5">
        <v>480</v>
      </c>
    </row>
    <row r="246" spans="1:13" ht="18" customHeight="1" x14ac:dyDescent="0.35">
      <c r="A246" s="27" t="s">
        <v>577</v>
      </c>
      <c r="B246" s="7" t="s">
        <v>578</v>
      </c>
      <c r="C246" s="3" t="str">
        <f>PROPER(TRIM(Table3[[#This Row],[Column1]]))</f>
        <v>Chandru Narayanan</v>
      </c>
      <c r="D246" s="6">
        <v>61</v>
      </c>
      <c r="E246" s="6" t="s">
        <v>15</v>
      </c>
      <c r="F246" s="7" t="s">
        <v>80</v>
      </c>
      <c r="G246" s="8">
        <v>45373</v>
      </c>
      <c r="H246" s="7" t="s">
        <v>17</v>
      </c>
      <c r="I246" s="7" t="s">
        <v>64</v>
      </c>
      <c r="J246" s="7" t="s">
        <v>65</v>
      </c>
      <c r="K246" s="7" t="s">
        <v>20</v>
      </c>
      <c r="L246" s="9">
        <v>850</v>
      </c>
      <c r="M246" s="9">
        <v>730</v>
      </c>
    </row>
    <row r="247" spans="1:13" ht="18" customHeight="1" x14ac:dyDescent="0.35">
      <c r="A247" s="26" t="s">
        <v>579</v>
      </c>
      <c r="B247" s="3" t="s">
        <v>580</v>
      </c>
      <c r="C247" s="3" t="str">
        <f>PROPER(TRIM(Table3[[#This Row],[Column1]]))</f>
        <v>Devika Balan</v>
      </c>
      <c r="D247" s="2">
        <v>32</v>
      </c>
      <c r="E247" s="2" t="s">
        <v>15</v>
      </c>
      <c r="F247" s="3" t="s">
        <v>35</v>
      </c>
      <c r="G247" s="4">
        <v>45005</v>
      </c>
      <c r="H247" s="3" t="s">
        <v>42</v>
      </c>
      <c r="I247" s="3" t="s">
        <v>43</v>
      </c>
      <c r="J247" s="3" t="s">
        <v>128</v>
      </c>
      <c r="K247" s="3" t="s">
        <v>90</v>
      </c>
      <c r="L247" s="5">
        <v>400</v>
      </c>
      <c r="M247" s="5">
        <v>190</v>
      </c>
    </row>
    <row r="248" spans="1:13" ht="18" customHeight="1" x14ac:dyDescent="0.35">
      <c r="A248" s="27" t="s">
        <v>581</v>
      </c>
      <c r="B248" s="7" t="s">
        <v>582</v>
      </c>
      <c r="C248" s="3" t="str">
        <f>PROPER(TRIM(Table3[[#This Row],[Column1]]))</f>
        <v>Elango Rajan</v>
      </c>
      <c r="D248" s="6">
        <v>72</v>
      </c>
      <c r="E248" s="6" t="s">
        <v>15</v>
      </c>
      <c r="F248" s="7" t="s">
        <v>80</v>
      </c>
      <c r="G248" s="8">
        <v>45356</v>
      </c>
      <c r="H248" s="7" t="s">
        <v>36</v>
      </c>
      <c r="I248" s="7" t="s">
        <v>37</v>
      </c>
      <c r="J248" s="7" t="s">
        <v>38</v>
      </c>
      <c r="K248" s="7" t="s">
        <v>39</v>
      </c>
      <c r="L248" s="9">
        <v>750</v>
      </c>
      <c r="M248" s="9">
        <v>650</v>
      </c>
    </row>
    <row r="249" spans="1:13" ht="18" customHeight="1" x14ac:dyDescent="0.35">
      <c r="A249" s="26" t="s">
        <v>583</v>
      </c>
      <c r="B249" s="3" t="s">
        <v>584</v>
      </c>
      <c r="C249" s="3" t="str">
        <f>PROPER(TRIM(Table3[[#This Row],[Column1]]))</f>
        <v>Fathima Selvam</v>
      </c>
      <c r="D249" s="2">
        <v>23</v>
      </c>
      <c r="E249" s="2" t="s">
        <v>15</v>
      </c>
      <c r="F249" s="3" t="s">
        <v>35</v>
      </c>
      <c r="G249" s="4">
        <v>45103</v>
      </c>
      <c r="H249" s="3" t="s">
        <v>28</v>
      </c>
      <c r="I249" s="3" t="s">
        <v>59</v>
      </c>
      <c r="J249" s="3" t="s">
        <v>30</v>
      </c>
      <c r="K249" s="3" t="s">
        <v>298</v>
      </c>
      <c r="L249" s="5">
        <v>600</v>
      </c>
      <c r="M249" s="5">
        <v>280</v>
      </c>
    </row>
    <row r="250" spans="1:13" ht="18" customHeight="1" x14ac:dyDescent="0.35">
      <c r="A250" s="27" t="s">
        <v>585</v>
      </c>
      <c r="B250" s="7" t="s">
        <v>586</v>
      </c>
      <c r="C250" s="3" t="str">
        <f>PROPER(TRIM(Table3[[#This Row],[Column1]]))</f>
        <v>Gopal Pandian</v>
      </c>
      <c r="D250" s="6">
        <v>56</v>
      </c>
      <c r="E250" s="6" t="s">
        <v>15</v>
      </c>
      <c r="F250" s="7" t="s">
        <v>16</v>
      </c>
      <c r="G250" s="8">
        <v>45098</v>
      </c>
      <c r="H250" s="7" t="s">
        <v>28</v>
      </c>
      <c r="I250" s="7" t="s">
        <v>59</v>
      </c>
      <c r="J250" s="7" t="s">
        <v>60</v>
      </c>
      <c r="K250" s="7" t="s">
        <v>31</v>
      </c>
      <c r="L250" s="9">
        <v>500</v>
      </c>
      <c r="M250" s="9">
        <v>240</v>
      </c>
    </row>
    <row r="251" spans="1:13" ht="18" customHeight="1" x14ac:dyDescent="0.35">
      <c r="A251" s="26" t="s">
        <v>587</v>
      </c>
      <c r="B251" s="3" t="s">
        <v>588</v>
      </c>
      <c r="C251" s="3" t="str">
        <f>PROPER(TRIM(Table3[[#This Row],[Column1]]))</f>
        <v>Hema Selvam</v>
      </c>
      <c r="D251" s="2">
        <v>64</v>
      </c>
      <c r="E251" s="2" t="s">
        <v>34</v>
      </c>
      <c r="F251" s="3" t="s">
        <v>80</v>
      </c>
      <c r="G251" s="4">
        <v>45426</v>
      </c>
      <c r="H251" s="3" t="s">
        <v>48</v>
      </c>
      <c r="I251" s="3" t="s">
        <v>54</v>
      </c>
      <c r="J251" s="3" t="s">
        <v>257</v>
      </c>
      <c r="K251" s="3" t="s">
        <v>51</v>
      </c>
      <c r="L251" s="5">
        <v>850</v>
      </c>
      <c r="M251" s="5">
        <v>190</v>
      </c>
    </row>
    <row r="252" spans="1:13" ht="18" customHeight="1" x14ac:dyDescent="0.35">
      <c r="A252" s="27" t="s">
        <v>589</v>
      </c>
      <c r="B252" s="7" t="s">
        <v>590</v>
      </c>
      <c r="C252" s="3" t="str">
        <f>PROPER(TRIM(Table3[[#This Row],[Column1]]))</f>
        <v>Ilango Pandian</v>
      </c>
      <c r="D252" s="6">
        <v>4</v>
      </c>
      <c r="E252" s="6" t="s">
        <v>34</v>
      </c>
      <c r="F252" s="7" t="s">
        <v>80</v>
      </c>
      <c r="G252" s="8">
        <v>44967</v>
      </c>
      <c r="H252" s="7" t="s">
        <v>17</v>
      </c>
      <c r="I252" s="7" t="s">
        <v>18</v>
      </c>
      <c r="J252" s="7" t="s">
        <v>65</v>
      </c>
      <c r="K252" s="7" t="s">
        <v>66</v>
      </c>
      <c r="L252" s="9">
        <v>750</v>
      </c>
      <c r="M252" s="9">
        <v>380</v>
      </c>
    </row>
    <row r="253" spans="1:13" ht="18" customHeight="1" x14ac:dyDescent="0.35">
      <c r="A253" s="26" t="s">
        <v>591</v>
      </c>
      <c r="B253" s="3" t="s">
        <v>592</v>
      </c>
      <c r="C253" s="3" t="str">
        <f>PROPER(TRIM(Table3[[#This Row],[Column1]]))</f>
        <v>Janani Verma</v>
      </c>
      <c r="D253" s="2">
        <v>13</v>
      </c>
      <c r="E253" s="2" t="s">
        <v>34</v>
      </c>
      <c r="F253" s="3" t="s">
        <v>80</v>
      </c>
      <c r="G253" s="4">
        <v>45329</v>
      </c>
      <c r="H253" s="3" t="s">
        <v>17</v>
      </c>
      <c r="I253" s="3" t="s">
        <v>64</v>
      </c>
      <c r="J253" s="3" t="s">
        <v>19</v>
      </c>
      <c r="K253" s="3" t="s">
        <v>24</v>
      </c>
      <c r="L253" s="5">
        <v>1150</v>
      </c>
      <c r="M253" s="5">
        <v>370</v>
      </c>
    </row>
    <row r="254" spans="1:13" ht="18" customHeight="1" x14ac:dyDescent="0.35">
      <c r="A254" s="27" t="s">
        <v>593</v>
      </c>
      <c r="B254" s="7" t="s">
        <v>594</v>
      </c>
      <c r="C254" s="3" t="str">
        <f>PROPER(TRIM(Table3[[#This Row],[Column1]]))</f>
        <v>Kabilan Menon</v>
      </c>
      <c r="D254" s="6">
        <v>74</v>
      </c>
      <c r="E254" s="6" t="s">
        <v>34</v>
      </c>
      <c r="F254" s="7" t="s">
        <v>35</v>
      </c>
      <c r="G254" s="8">
        <v>45132</v>
      </c>
      <c r="H254" s="7" t="s">
        <v>17</v>
      </c>
      <c r="I254" s="7" t="s">
        <v>18</v>
      </c>
      <c r="J254" s="7" t="s">
        <v>192</v>
      </c>
      <c r="K254" s="7" t="s">
        <v>66</v>
      </c>
      <c r="L254" s="9">
        <v>1000</v>
      </c>
      <c r="M254" s="9">
        <v>490</v>
      </c>
    </row>
    <row r="255" spans="1:13" ht="18" customHeight="1" x14ac:dyDescent="0.35">
      <c r="A255" s="26" t="s">
        <v>595</v>
      </c>
      <c r="B255" s="3" t="s">
        <v>596</v>
      </c>
      <c r="C255" s="3" t="str">
        <f>PROPER(TRIM(Table3[[#This Row],[Column1]]))</f>
        <v>Lalitha Vel</v>
      </c>
      <c r="D255" s="2">
        <v>51</v>
      </c>
      <c r="E255" s="2" t="s">
        <v>15</v>
      </c>
      <c r="F255" s="3" t="s">
        <v>80</v>
      </c>
      <c r="G255" s="4">
        <v>45276</v>
      </c>
      <c r="H255" s="3" t="s">
        <v>42</v>
      </c>
      <c r="I255" s="3" t="s">
        <v>89</v>
      </c>
      <c r="J255" s="3" t="s">
        <v>85</v>
      </c>
      <c r="K255" s="3" t="s">
        <v>119</v>
      </c>
      <c r="L255" s="5">
        <v>400</v>
      </c>
      <c r="M255" s="5">
        <v>260</v>
      </c>
    </row>
    <row r="256" spans="1:13" ht="18" customHeight="1" x14ac:dyDescent="0.35">
      <c r="A256" s="27" t="s">
        <v>597</v>
      </c>
      <c r="B256" s="7" t="s">
        <v>598</v>
      </c>
      <c r="C256" s="3" t="str">
        <f>PROPER(TRIM(Table3[[#This Row],[Column1]]))</f>
        <v>Muthu Kumar</v>
      </c>
      <c r="D256" s="6">
        <v>64</v>
      </c>
      <c r="E256" s="6" t="s">
        <v>34</v>
      </c>
      <c r="F256" s="7" t="s">
        <v>27</v>
      </c>
      <c r="G256" s="8">
        <v>44995</v>
      </c>
      <c r="H256" s="7" t="s">
        <v>42</v>
      </c>
      <c r="I256" s="7" t="s">
        <v>43</v>
      </c>
      <c r="J256" s="7" t="s">
        <v>44</v>
      </c>
      <c r="K256" s="7" t="s">
        <v>119</v>
      </c>
      <c r="L256" s="9">
        <v>500</v>
      </c>
      <c r="M256" s="9">
        <v>380</v>
      </c>
    </row>
    <row r="257" spans="1:13" ht="18" customHeight="1" x14ac:dyDescent="0.35">
      <c r="A257" s="26" t="s">
        <v>599</v>
      </c>
      <c r="B257" s="3" t="s">
        <v>600</v>
      </c>
      <c r="C257" s="3" t="str">
        <f>PROPER(TRIM(Table3[[#This Row],[Column1]]))</f>
        <v>Nandini Nair</v>
      </c>
      <c r="D257" s="2">
        <v>36</v>
      </c>
      <c r="E257" s="2" t="s">
        <v>15</v>
      </c>
      <c r="F257" s="3" t="s">
        <v>80</v>
      </c>
      <c r="G257" s="4">
        <v>44960</v>
      </c>
      <c r="H257" s="3" t="s">
        <v>36</v>
      </c>
      <c r="I257" s="3" t="s">
        <v>75</v>
      </c>
      <c r="J257" s="3" t="s">
        <v>144</v>
      </c>
      <c r="K257" s="3" t="s">
        <v>39</v>
      </c>
      <c r="L257" s="5">
        <v>850</v>
      </c>
      <c r="M257" s="5">
        <v>640</v>
      </c>
    </row>
    <row r="258" spans="1:13" ht="18" customHeight="1" x14ac:dyDescent="0.35">
      <c r="A258" s="27" t="s">
        <v>601</v>
      </c>
      <c r="B258" s="7" t="s">
        <v>602</v>
      </c>
      <c r="C258" s="3" t="str">
        <f>PROPER(TRIM(Table3[[#This Row],[Column1]]))</f>
        <v>Prakash Verma</v>
      </c>
      <c r="D258" s="6">
        <v>14</v>
      </c>
      <c r="E258" s="6" t="s">
        <v>34</v>
      </c>
      <c r="F258" s="7" t="s">
        <v>80</v>
      </c>
      <c r="G258" s="8">
        <v>45007</v>
      </c>
      <c r="H258" s="7" t="s">
        <v>48</v>
      </c>
      <c r="I258" s="7" t="s">
        <v>54</v>
      </c>
      <c r="J258" s="7" t="s">
        <v>151</v>
      </c>
      <c r="K258" s="7" t="s">
        <v>114</v>
      </c>
      <c r="L258" s="9">
        <v>800</v>
      </c>
      <c r="M258" s="9">
        <v>450</v>
      </c>
    </row>
    <row r="259" spans="1:13" ht="18" customHeight="1" x14ac:dyDescent="0.35">
      <c r="A259" s="26" t="s">
        <v>603</v>
      </c>
      <c r="B259" s="3" t="s">
        <v>604</v>
      </c>
      <c r="C259" s="3" t="str">
        <f>PROPER(TRIM(Table3[[#This Row],[Column1]]))</f>
        <v>Ramya Reddy</v>
      </c>
      <c r="D259" s="2">
        <v>54</v>
      </c>
      <c r="E259" s="2" t="s">
        <v>15</v>
      </c>
      <c r="F259" s="3" t="s">
        <v>27</v>
      </c>
      <c r="G259" s="4">
        <v>45019</v>
      </c>
      <c r="H259" s="3" t="s">
        <v>42</v>
      </c>
      <c r="I259" s="3" t="s">
        <v>89</v>
      </c>
      <c r="J259" s="3" t="s">
        <v>85</v>
      </c>
      <c r="K259" s="3" t="s">
        <v>86</v>
      </c>
      <c r="L259" s="5">
        <v>300</v>
      </c>
      <c r="M259" s="5">
        <v>160</v>
      </c>
    </row>
    <row r="260" spans="1:13" ht="18" customHeight="1" x14ac:dyDescent="0.35">
      <c r="A260" s="27" t="s">
        <v>605</v>
      </c>
      <c r="B260" s="7" t="s">
        <v>606</v>
      </c>
      <c r="C260" s="3" t="str">
        <f>PROPER(TRIM(Table3[[#This Row],[Column1]]))</f>
        <v>Selvam Devi</v>
      </c>
      <c r="D260" s="6">
        <v>53</v>
      </c>
      <c r="E260" s="6" t="s">
        <v>15</v>
      </c>
      <c r="F260" s="7" t="s">
        <v>35</v>
      </c>
      <c r="G260" s="8">
        <v>45061</v>
      </c>
      <c r="H260" s="7" t="s">
        <v>42</v>
      </c>
      <c r="I260" s="7" t="s">
        <v>89</v>
      </c>
      <c r="J260" s="7" t="s">
        <v>110</v>
      </c>
      <c r="K260" s="7" t="s">
        <v>197</v>
      </c>
      <c r="L260" s="9">
        <v>350</v>
      </c>
      <c r="M260" s="9">
        <v>190</v>
      </c>
    </row>
    <row r="261" spans="1:13" ht="18" customHeight="1" x14ac:dyDescent="0.35">
      <c r="A261" s="26" t="s">
        <v>607</v>
      </c>
      <c r="B261" s="3" t="s">
        <v>608</v>
      </c>
      <c r="C261" s="3" t="str">
        <f>PROPER(TRIM(Table3[[#This Row],[Column1]]))</f>
        <v>Thenmozhi Sharma</v>
      </c>
      <c r="D261" s="2">
        <v>45</v>
      </c>
      <c r="E261" s="2" t="s">
        <v>34</v>
      </c>
      <c r="F261" s="3" t="s">
        <v>107</v>
      </c>
      <c r="G261" s="4">
        <v>45125</v>
      </c>
      <c r="H261" s="3" t="s">
        <v>48</v>
      </c>
      <c r="I261" s="3" t="s">
        <v>49</v>
      </c>
      <c r="J261" s="3" t="s">
        <v>257</v>
      </c>
      <c r="K261" s="3" t="s">
        <v>95</v>
      </c>
      <c r="L261" s="5">
        <v>650</v>
      </c>
      <c r="M261" s="5">
        <v>370</v>
      </c>
    </row>
    <row r="262" spans="1:13" ht="18" customHeight="1" x14ac:dyDescent="0.35">
      <c r="A262" s="27" t="s">
        <v>609</v>
      </c>
      <c r="B262" s="7" t="s">
        <v>610</v>
      </c>
      <c r="C262" s="3" t="str">
        <f>PROPER(TRIM(Table3[[#This Row],[Column1]]))</f>
        <v>Uma Sharma</v>
      </c>
      <c r="D262" s="6">
        <v>20</v>
      </c>
      <c r="E262" s="6" t="s">
        <v>34</v>
      </c>
      <c r="F262" s="7" t="s">
        <v>80</v>
      </c>
      <c r="G262" s="8">
        <v>45280</v>
      </c>
      <c r="H262" s="7" t="s">
        <v>42</v>
      </c>
      <c r="I262" s="7" t="s">
        <v>89</v>
      </c>
      <c r="J262" s="7" t="s">
        <v>110</v>
      </c>
      <c r="K262" s="7" t="s">
        <v>72</v>
      </c>
      <c r="L262" s="9">
        <v>350</v>
      </c>
      <c r="M262" s="9">
        <v>100</v>
      </c>
    </row>
    <row r="263" spans="1:13" ht="18" customHeight="1" x14ac:dyDescent="0.35">
      <c r="A263" s="26" t="s">
        <v>611</v>
      </c>
      <c r="B263" s="3" t="s">
        <v>612</v>
      </c>
      <c r="C263" s="3" t="str">
        <f>PROPER(TRIM(Table3[[#This Row],[Column1]]))</f>
        <v>Vijaya Subramanian</v>
      </c>
      <c r="D263" s="2">
        <v>49</v>
      </c>
      <c r="E263" s="2" t="s">
        <v>34</v>
      </c>
      <c r="F263" s="3" t="s">
        <v>16</v>
      </c>
      <c r="G263" s="4">
        <v>45190</v>
      </c>
      <c r="H263" s="3" t="s">
        <v>17</v>
      </c>
      <c r="I263" s="3" t="s">
        <v>23</v>
      </c>
      <c r="J263" s="3" t="s">
        <v>154</v>
      </c>
      <c r="K263" s="3" t="s">
        <v>66</v>
      </c>
      <c r="L263" s="5">
        <v>1150</v>
      </c>
      <c r="M263" s="5">
        <v>760</v>
      </c>
    </row>
    <row r="264" spans="1:13" ht="18" customHeight="1" x14ac:dyDescent="0.35">
      <c r="A264" s="27" t="s">
        <v>613</v>
      </c>
      <c r="B264" s="7" t="s">
        <v>614</v>
      </c>
      <c r="C264" s="3" t="str">
        <f>PROPER(TRIM(Table3[[#This Row],[Column1]]))</f>
        <v>Anbu Verma</v>
      </c>
      <c r="D264" s="6">
        <v>70</v>
      </c>
      <c r="E264" s="6" t="s">
        <v>15</v>
      </c>
      <c r="F264" s="7" t="s">
        <v>27</v>
      </c>
      <c r="G264" s="8">
        <v>45461</v>
      </c>
      <c r="H264" s="7" t="s">
        <v>48</v>
      </c>
      <c r="I264" s="7" t="s">
        <v>49</v>
      </c>
      <c r="J264" s="7" t="s">
        <v>94</v>
      </c>
      <c r="K264" s="7" t="s">
        <v>56</v>
      </c>
      <c r="L264" s="9">
        <v>600</v>
      </c>
      <c r="M264" s="9">
        <v>490</v>
      </c>
    </row>
    <row r="265" spans="1:13" ht="18" customHeight="1" x14ac:dyDescent="0.35">
      <c r="A265" s="26" t="s">
        <v>615</v>
      </c>
      <c r="B265" s="3" t="s">
        <v>616</v>
      </c>
      <c r="C265" s="3" t="str">
        <f>PROPER(TRIM(Table3[[#This Row],[Column1]]))</f>
        <v>Bala Krishnan</v>
      </c>
      <c r="D265" s="2">
        <v>42</v>
      </c>
      <c r="E265" s="2" t="s">
        <v>15</v>
      </c>
      <c r="F265" s="3" t="s">
        <v>27</v>
      </c>
      <c r="G265" s="4">
        <v>45059</v>
      </c>
      <c r="H265" s="3" t="s">
        <v>17</v>
      </c>
      <c r="I265" s="3" t="s">
        <v>23</v>
      </c>
      <c r="J265" s="3" t="s">
        <v>19</v>
      </c>
      <c r="K265" s="3" t="s">
        <v>226</v>
      </c>
      <c r="L265" s="5">
        <v>1050</v>
      </c>
      <c r="M265" s="5">
        <v>780</v>
      </c>
    </row>
    <row r="266" spans="1:13" ht="18" customHeight="1" x14ac:dyDescent="0.35">
      <c r="A266" s="27" t="s">
        <v>617</v>
      </c>
      <c r="B266" s="7" t="s">
        <v>618</v>
      </c>
      <c r="C266" s="3" t="str">
        <f>PROPER(TRIM(Table3[[#This Row],[Column1]]))</f>
        <v>Chandra Balan</v>
      </c>
      <c r="D266" s="6">
        <v>64</v>
      </c>
      <c r="E266" s="6" t="s">
        <v>34</v>
      </c>
      <c r="F266" s="7" t="s">
        <v>27</v>
      </c>
      <c r="G266" s="8">
        <v>45478</v>
      </c>
      <c r="H266" s="7" t="s">
        <v>42</v>
      </c>
      <c r="I266" s="7" t="s">
        <v>70</v>
      </c>
      <c r="J266" s="7" t="s">
        <v>128</v>
      </c>
      <c r="K266" s="7" t="s">
        <v>45</v>
      </c>
      <c r="L266" s="9">
        <v>300</v>
      </c>
      <c r="M266" s="9">
        <v>220</v>
      </c>
    </row>
    <row r="267" spans="1:13" ht="18" customHeight="1" x14ac:dyDescent="0.35">
      <c r="A267" s="26" t="s">
        <v>619</v>
      </c>
      <c r="B267" s="3" t="s">
        <v>620</v>
      </c>
      <c r="C267" s="3" t="str">
        <f>PROPER(TRIM(Table3[[#This Row],[Column1]]))</f>
        <v>Durai Selvam</v>
      </c>
      <c r="D267" s="2">
        <v>18</v>
      </c>
      <c r="E267" s="2" t="s">
        <v>15</v>
      </c>
      <c r="F267" s="3" t="s">
        <v>80</v>
      </c>
      <c r="G267" s="4">
        <v>45616</v>
      </c>
      <c r="H267" s="3" t="s">
        <v>42</v>
      </c>
      <c r="I267" s="3" t="s">
        <v>43</v>
      </c>
      <c r="J267" s="3" t="s">
        <v>128</v>
      </c>
      <c r="K267" s="3" t="s">
        <v>197</v>
      </c>
      <c r="L267" s="5">
        <v>350</v>
      </c>
      <c r="M267" s="5">
        <v>160</v>
      </c>
    </row>
    <row r="268" spans="1:13" ht="18" customHeight="1" x14ac:dyDescent="0.35">
      <c r="A268" s="27" t="s">
        <v>621</v>
      </c>
      <c r="B268" s="7" t="s">
        <v>622</v>
      </c>
      <c r="C268" s="3" t="str">
        <f>PROPER(TRIM(Table3[[#This Row],[Column1]]))</f>
        <v>Ezhil Raja</v>
      </c>
      <c r="D268" s="6">
        <v>41</v>
      </c>
      <c r="E268" s="6" t="s">
        <v>34</v>
      </c>
      <c r="F268" s="7" t="s">
        <v>107</v>
      </c>
      <c r="G268" s="8">
        <v>45481</v>
      </c>
      <c r="H268" s="7" t="s">
        <v>36</v>
      </c>
      <c r="I268" s="7" t="s">
        <v>37</v>
      </c>
      <c r="J268" s="7" t="s">
        <v>144</v>
      </c>
      <c r="K268" s="7" t="s">
        <v>189</v>
      </c>
      <c r="L268" s="9">
        <v>950</v>
      </c>
      <c r="M268" s="9">
        <v>660</v>
      </c>
    </row>
    <row r="269" spans="1:13" ht="18" customHeight="1" x14ac:dyDescent="0.35">
      <c r="A269" s="26" t="s">
        <v>623</v>
      </c>
      <c r="B269" s="3" t="s">
        <v>624</v>
      </c>
      <c r="C269" s="3" t="str">
        <f>PROPER(TRIM(Table3[[#This Row],[Column1]]))</f>
        <v>Guna Devi</v>
      </c>
      <c r="D269" s="2">
        <v>50</v>
      </c>
      <c r="E269" s="2" t="s">
        <v>15</v>
      </c>
      <c r="F269" s="3" t="s">
        <v>35</v>
      </c>
      <c r="G269" s="4">
        <v>45570</v>
      </c>
      <c r="H269" s="3" t="s">
        <v>42</v>
      </c>
      <c r="I269" s="3" t="s">
        <v>43</v>
      </c>
      <c r="J269" s="3" t="s">
        <v>128</v>
      </c>
      <c r="K269" s="3" t="s">
        <v>45</v>
      </c>
      <c r="L269" s="5">
        <v>350</v>
      </c>
      <c r="M269" s="5">
        <v>250</v>
      </c>
    </row>
    <row r="270" spans="1:13" ht="18" customHeight="1" x14ac:dyDescent="0.35">
      <c r="A270" s="27" t="s">
        <v>625</v>
      </c>
      <c r="B270" s="7" t="s">
        <v>626</v>
      </c>
      <c r="C270" s="3" t="str">
        <f>PROPER(TRIM(Table3[[#This Row],[Column1]]))</f>
        <v>Hari Devi</v>
      </c>
      <c r="D270" s="6">
        <v>15</v>
      </c>
      <c r="E270" s="6" t="s">
        <v>15</v>
      </c>
      <c r="F270" s="7" t="s">
        <v>107</v>
      </c>
      <c r="G270" s="8">
        <v>45153</v>
      </c>
      <c r="H270" s="7" t="s">
        <v>48</v>
      </c>
      <c r="I270" s="7" t="s">
        <v>54</v>
      </c>
      <c r="J270" s="7" t="s">
        <v>50</v>
      </c>
      <c r="K270" s="7" t="s">
        <v>114</v>
      </c>
      <c r="L270" s="9">
        <v>600</v>
      </c>
      <c r="M270" s="9">
        <v>500</v>
      </c>
    </row>
    <row r="271" spans="1:13" ht="18" customHeight="1" x14ac:dyDescent="0.35">
      <c r="A271" s="26" t="s">
        <v>627</v>
      </c>
      <c r="B271" s="3" t="s">
        <v>628</v>
      </c>
      <c r="C271" s="3" t="str">
        <f>PROPER(TRIM(Table3[[#This Row],[Column1]]))</f>
        <v>Indu Verma</v>
      </c>
      <c r="D271" s="2">
        <v>50</v>
      </c>
      <c r="E271" s="2" t="s">
        <v>15</v>
      </c>
      <c r="F271" s="3" t="s">
        <v>16</v>
      </c>
      <c r="G271" s="4">
        <v>45268</v>
      </c>
      <c r="H271" s="3" t="s">
        <v>48</v>
      </c>
      <c r="I271" s="3" t="s">
        <v>93</v>
      </c>
      <c r="J271" s="3" t="s">
        <v>94</v>
      </c>
      <c r="K271" s="3" t="s">
        <v>114</v>
      </c>
      <c r="L271" s="5">
        <v>600</v>
      </c>
      <c r="M271" s="5">
        <v>400</v>
      </c>
    </row>
    <row r="272" spans="1:13" ht="18" customHeight="1" x14ac:dyDescent="0.35">
      <c r="A272" s="27" t="s">
        <v>629</v>
      </c>
      <c r="B272" s="7" t="s">
        <v>630</v>
      </c>
      <c r="C272" s="3" t="str">
        <f>PROPER(TRIM(Table3[[#This Row],[Column1]]))</f>
        <v>Jothi Menon</v>
      </c>
      <c r="D272" s="6">
        <v>48</v>
      </c>
      <c r="E272" s="6" t="s">
        <v>34</v>
      </c>
      <c r="F272" s="7" t="s">
        <v>27</v>
      </c>
      <c r="G272" s="8">
        <v>45013</v>
      </c>
      <c r="H272" s="7" t="s">
        <v>17</v>
      </c>
      <c r="I272" s="7" t="s">
        <v>23</v>
      </c>
      <c r="J272" s="7" t="s">
        <v>147</v>
      </c>
      <c r="K272" s="7" t="s">
        <v>24</v>
      </c>
      <c r="L272" s="9">
        <v>1000</v>
      </c>
      <c r="M272" s="9">
        <v>610</v>
      </c>
    </row>
    <row r="273" spans="1:13" ht="18" customHeight="1" x14ac:dyDescent="0.35">
      <c r="A273" s="26" t="s">
        <v>631</v>
      </c>
      <c r="B273" s="3" t="s">
        <v>632</v>
      </c>
      <c r="C273" s="3" t="str">
        <f>PROPER(TRIM(Table3[[#This Row],[Column1]]))</f>
        <v>Kamal Nair</v>
      </c>
      <c r="D273" s="2">
        <v>70</v>
      </c>
      <c r="E273" s="2" t="s">
        <v>15</v>
      </c>
      <c r="F273" s="3" t="s">
        <v>27</v>
      </c>
      <c r="G273" s="4">
        <v>45090</v>
      </c>
      <c r="H273" s="3" t="s">
        <v>17</v>
      </c>
      <c r="I273" s="3" t="s">
        <v>23</v>
      </c>
      <c r="J273" s="3" t="s">
        <v>65</v>
      </c>
      <c r="K273" s="3" t="s">
        <v>148</v>
      </c>
      <c r="L273" s="5">
        <v>1150</v>
      </c>
      <c r="M273" s="5">
        <v>760</v>
      </c>
    </row>
    <row r="274" spans="1:13" ht="18" customHeight="1" x14ac:dyDescent="0.35">
      <c r="A274" s="27" t="s">
        <v>633</v>
      </c>
      <c r="B274" s="7" t="s">
        <v>634</v>
      </c>
      <c r="C274" s="3" t="str">
        <f>PROPER(TRIM(Table3[[#This Row],[Column1]]))</f>
        <v>Lekha Murugan</v>
      </c>
      <c r="D274" s="6">
        <v>42</v>
      </c>
      <c r="E274" s="6" t="s">
        <v>15</v>
      </c>
      <c r="F274" s="7" t="s">
        <v>35</v>
      </c>
      <c r="G274" s="8">
        <v>45459</v>
      </c>
      <c r="H274" s="7" t="s">
        <v>17</v>
      </c>
      <c r="I274" s="7" t="s">
        <v>64</v>
      </c>
      <c r="J274" s="7" t="s">
        <v>19</v>
      </c>
      <c r="K274" s="7" t="s">
        <v>66</v>
      </c>
      <c r="L274" s="9">
        <v>1050</v>
      </c>
      <c r="M274" s="9">
        <v>430</v>
      </c>
    </row>
    <row r="275" spans="1:13" ht="18" customHeight="1" x14ac:dyDescent="0.35">
      <c r="A275" s="26" t="s">
        <v>635</v>
      </c>
      <c r="B275" s="3" t="s">
        <v>636</v>
      </c>
      <c r="C275" s="3" t="str">
        <f>PROPER(TRIM(Table3[[#This Row],[Column1]]))</f>
        <v>Malar Murugan</v>
      </c>
      <c r="D275" s="2">
        <v>63</v>
      </c>
      <c r="E275" s="2" t="s">
        <v>15</v>
      </c>
      <c r="F275" s="3" t="s">
        <v>35</v>
      </c>
      <c r="G275" s="4">
        <v>45408</v>
      </c>
      <c r="H275" s="3" t="s">
        <v>48</v>
      </c>
      <c r="I275" s="3" t="s">
        <v>93</v>
      </c>
      <c r="J275" s="3" t="s">
        <v>94</v>
      </c>
      <c r="K275" s="3" t="s">
        <v>51</v>
      </c>
      <c r="L275" s="5">
        <v>650</v>
      </c>
      <c r="M275" s="5">
        <v>230</v>
      </c>
    </row>
    <row r="276" spans="1:13" ht="18" customHeight="1" x14ac:dyDescent="0.35">
      <c r="A276" s="27" t="s">
        <v>637</v>
      </c>
      <c r="B276" s="7" t="s">
        <v>638</v>
      </c>
      <c r="C276" s="3" t="str">
        <f>PROPER(TRIM(Table3[[#This Row],[Column1]]))</f>
        <v>Naga Iyer</v>
      </c>
      <c r="D276" s="6">
        <v>16</v>
      </c>
      <c r="E276" s="6" t="s">
        <v>15</v>
      </c>
      <c r="F276" s="7" t="s">
        <v>16</v>
      </c>
      <c r="G276" s="8">
        <v>45225</v>
      </c>
      <c r="H276" s="7" t="s">
        <v>17</v>
      </c>
      <c r="I276" s="7" t="s">
        <v>18</v>
      </c>
      <c r="J276" s="7" t="s">
        <v>154</v>
      </c>
      <c r="K276" s="7" t="s">
        <v>66</v>
      </c>
      <c r="L276" s="9">
        <v>800</v>
      </c>
      <c r="M276" s="9">
        <v>300</v>
      </c>
    </row>
    <row r="277" spans="1:13" ht="18" customHeight="1" x14ac:dyDescent="0.35">
      <c r="A277" s="26" t="s">
        <v>639</v>
      </c>
      <c r="B277" s="3" t="s">
        <v>640</v>
      </c>
      <c r="C277" s="3" t="str">
        <f>PROPER(TRIM(Table3[[#This Row],[Column1]]))</f>
        <v>Oviya Singh</v>
      </c>
      <c r="D277" s="2">
        <v>33</v>
      </c>
      <c r="E277" s="2" t="s">
        <v>15</v>
      </c>
      <c r="F277" s="3" t="s">
        <v>16</v>
      </c>
      <c r="G277" s="4">
        <v>45497</v>
      </c>
      <c r="H277" s="3" t="s">
        <v>42</v>
      </c>
      <c r="I277" s="3" t="s">
        <v>43</v>
      </c>
      <c r="J277" s="3" t="s">
        <v>128</v>
      </c>
      <c r="K277" s="3" t="s">
        <v>90</v>
      </c>
      <c r="L277" s="5">
        <v>400</v>
      </c>
      <c r="M277" s="5">
        <v>140</v>
      </c>
    </row>
    <row r="278" spans="1:13" ht="18" customHeight="1" x14ac:dyDescent="0.35">
      <c r="A278" s="27" t="s">
        <v>641</v>
      </c>
      <c r="B278" s="7" t="s">
        <v>642</v>
      </c>
      <c r="C278" s="3" t="str">
        <f>PROPER(TRIM(Table3[[#This Row],[Column1]]))</f>
        <v>Pari Narayanan</v>
      </c>
      <c r="D278" s="6">
        <v>26</v>
      </c>
      <c r="E278" s="6" t="s">
        <v>34</v>
      </c>
      <c r="F278" s="7" t="s">
        <v>35</v>
      </c>
      <c r="G278" s="8">
        <v>45062</v>
      </c>
      <c r="H278" s="7" t="s">
        <v>17</v>
      </c>
      <c r="I278" s="7" t="s">
        <v>64</v>
      </c>
      <c r="J278" s="7" t="s">
        <v>154</v>
      </c>
      <c r="K278" s="7" t="s">
        <v>148</v>
      </c>
      <c r="L278" s="9">
        <v>950</v>
      </c>
      <c r="M278" s="9">
        <v>750</v>
      </c>
    </row>
    <row r="279" spans="1:13" ht="18" customHeight="1" x14ac:dyDescent="0.35">
      <c r="A279" s="26" t="s">
        <v>643</v>
      </c>
      <c r="B279" s="3" t="s">
        <v>644</v>
      </c>
      <c r="C279" s="3" t="str">
        <f>PROPER(TRIM(Table3[[#This Row],[Column1]]))</f>
        <v>Raja Patel</v>
      </c>
      <c r="D279" s="2">
        <v>60</v>
      </c>
      <c r="E279" s="2" t="s">
        <v>34</v>
      </c>
      <c r="F279" s="3" t="s">
        <v>69</v>
      </c>
      <c r="G279" s="4">
        <v>45360</v>
      </c>
      <c r="H279" s="3" t="s">
        <v>36</v>
      </c>
      <c r="I279" s="3" t="s">
        <v>75</v>
      </c>
      <c r="J279" s="3" t="s">
        <v>104</v>
      </c>
      <c r="K279" s="3" t="s">
        <v>39</v>
      </c>
      <c r="L279" s="5">
        <v>700</v>
      </c>
      <c r="M279" s="5">
        <v>460</v>
      </c>
    </row>
    <row r="280" spans="1:13" ht="18" customHeight="1" x14ac:dyDescent="0.35">
      <c r="A280" s="27" t="s">
        <v>645</v>
      </c>
      <c r="B280" s="7" t="s">
        <v>646</v>
      </c>
      <c r="C280" s="3" t="str">
        <f>PROPER(TRIM(Table3[[#This Row],[Column1]]))</f>
        <v>Suba Pillai</v>
      </c>
      <c r="D280" s="6">
        <v>54</v>
      </c>
      <c r="E280" s="6" t="s">
        <v>34</v>
      </c>
      <c r="F280" s="7" t="s">
        <v>16</v>
      </c>
      <c r="G280" s="8">
        <v>45431</v>
      </c>
      <c r="H280" s="7" t="s">
        <v>48</v>
      </c>
      <c r="I280" s="7" t="s">
        <v>54</v>
      </c>
      <c r="J280" s="7" t="s">
        <v>94</v>
      </c>
      <c r="K280" s="7" t="s">
        <v>95</v>
      </c>
      <c r="L280" s="9">
        <v>700</v>
      </c>
      <c r="M280" s="9">
        <v>400</v>
      </c>
    </row>
    <row r="281" spans="1:13" ht="18" customHeight="1" x14ac:dyDescent="0.35">
      <c r="A281" s="26" t="s">
        <v>647</v>
      </c>
      <c r="B281" s="3" t="s">
        <v>648</v>
      </c>
      <c r="C281" s="3" t="str">
        <f>PROPER(TRIM(Table3[[#This Row],[Column1]]))</f>
        <v>Tamil Pillai</v>
      </c>
      <c r="D281" s="2">
        <v>29</v>
      </c>
      <c r="E281" s="2" t="s">
        <v>34</v>
      </c>
      <c r="F281" s="3" t="s">
        <v>35</v>
      </c>
      <c r="G281" s="4">
        <v>45008</v>
      </c>
      <c r="H281" s="3" t="s">
        <v>28</v>
      </c>
      <c r="I281" s="3" t="s">
        <v>29</v>
      </c>
      <c r="J281" s="3" t="s">
        <v>123</v>
      </c>
      <c r="K281" s="3" t="s">
        <v>111</v>
      </c>
      <c r="L281" s="5">
        <v>700</v>
      </c>
      <c r="M281" s="5">
        <v>140</v>
      </c>
    </row>
    <row r="282" spans="1:13" ht="18" customHeight="1" x14ac:dyDescent="0.35">
      <c r="A282" s="27" t="s">
        <v>649</v>
      </c>
      <c r="B282" s="7" t="s">
        <v>650</v>
      </c>
      <c r="C282" s="3" t="str">
        <f>PROPER(TRIM(Table3[[#This Row],[Column1]]))</f>
        <v>Vani Narayanan</v>
      </c>
      <c r="D282" s="6">
        <v>35</v>
      </c>
      <c r="E282" s="6" t="s">
        <v>15</v>
      </c>
      <c r="F282" s="7" t="s">
        <v>27</v>
      </c>
      <c r="G282" s="8">
        <v>45252</v>
      </c>
      <c r="H282" s="7" t="s">
        <v>28</v>
      </c>
      <c r="I282" s="7" t="s">
        <v>122</v>
      </c>
      <c r="J282" s="7" t="s">
        <v>30</v>
      </c>
      <c r="K282" s="7" t="s">
        <v>31</v>
      </c>
      <c r="L282" s="9">
        <v>550</v>
      </c>
      <c r="M282" s="9">
        <v>110</v>
      </c>
    </row>
    <row r="283" spans="1:13" ht="18" customHeight="1" x14ac:dyDescent="0.35">
      <c r="A283" s="26" t="s">
        <v>651</v>
      </c>
      <c r="B283" s="3" t="s">
        <v>652</v>
      </c>
      <c r="C283" s="3" t="str">
        <f>PROPER(TRIM(Table3[[#This Row],[Column1]]))</f>
        <v>Yamuna Raja</v>
      </c>
      <c r="D283" s="2">
        <v>74</v>
      </c>
      <c r="E283" s="2" t="s">
        <v>34</v>
      </c>
      <c r="F283" s="3" t="s">
        <v>35</v>
      </c>
      <c r="G283" s="4">
        <v>45254</v>
      </c>
      <c r="H283" s="3" t="s">
        <v>48</v>
      </c>
      <c r="I283" s="3" t="s">
        <v>93</v>
      </c>
      <c r="J283" s="3" t="s">
        <v>50</v>
      </c>
      <c r="K283" s="3" t="s">
        <v>56</v>
      </c>
      <c r="L283" s="5">
        <v>650</v>
      </c>
      <c r="M283" s="5">
        <v>380</v>
      </c>
    </row>
    <row r="284" spans="1:13" ht="18" customHeight="1" x14ac:dyDescent="0.35">
      <c r="A284" s="27" t="s">
        <v>653</v>
      </c>
      <c r="B284" s="7" t="s">
        <v>654</v>
      </c>
      <c r="C284" s="3" t="str">
        <f>PROPER(TRIM(Table3[[#This Row],[Column1]]))</f>
        <v>Abinaya Raja</v>
      </c>
      <c r="D284" s="6">
        <v>39</v>
      </c>
      <c r="E284" s="6" t="s">
        <v>34</v>
      </c>
      <c r="F284" s="7" t="s">
        <v>35</v>
      </c>
      <c r="G284" s="8">
        <v>45037</v>
      </c>
      <c r="H284" s="7" t="s">
        <v>48</v>
      </c>
      <c r="I284" s="7" t="s">
        <v>93</v>
      </c>
      <c r="J284" s="7" t="s">
        <v>94</v>
      </c>
      <c r="K284" s="7" t="s">
        <v>95</v>
      </c>
      <c r="L284" s="9">
        <v>550</v>
      </c>
      <c r="M284" s="9">
        <v>340</v>
      </c>
    </row>
    <row r="285" spans="1:13" ht="18" customHeight="1" x14ac:dyDescent="0.35">
      <c r="A285" s="26" t="s">
        <v>655</v>
      </c>
      <c r="B285" s="3" t="s">
        <v>656</v>
      </c>
      <c r="C285" s="3" t="str">
        <f>PROPER(TRIM(Table3[[#This Row],[Column1]]))</f>
        <v>Boopathi Murugan</v>
      </c>
      <c r="D285" s="2">
        <v>47</v>
      </c>
      <c r="E285" s="2" t="s">
        <v>34</v>
      </c>
      <c r="F285" s="3" t="s">
        <v>16</v>
      </c>
      <c r="G285" s="4">
        <v>45469</v>
      </c>
      <c r="H285" s="3" t="s">
        <v>42</v>
      </c>
      <c r="I285" s="3" t="s">
        <v>70</v>
      </c>
      <c r="J285" s="3" t="s">
        <v>128</v>
      </c>
      <c r="K285" s="3" t="s">
        <v>72</v>
      </c>
      <c r="L285" s="5">
        <v>400</v>
      </c>
      <c r="M285" s="5">
        <v>310</v>
      </c>
    </row>
    <row r="286" spans="1:13" ht="18" customHeight="1" x14ac:dyDescent="0.35">
      <c r="A286" s="27" t="s">
        <v>657</v>
      </c>
      <c r="B286" s="7" t="s">
        <v>658</v>
      </c>
      <c r="C286" s="3" t="str">
        <f>PROPER(TRIM(Table3[[#This Row],[Column1]]))</f>
        <v>Chelvi Subramanian</v>
      </c>
      <c r="D286" s="6">
        <v>21</v>
      </c>
      <c r="E286" s="6" t="s">
        <v>15</v>
      </c>
      <c r="F286" s="7" t="s">
        <v>16</v>
      </c>
      <c r="G286" s="8">
        <v>45420</v>
      </c>
      <c r="H286" s="7" t="s">
        <v>36</v>
      </c>
      <c r="I286" s="7" t="s">
        <v>37</v>
      </c>
      <c r="J286" s="7" t="s">
        <v>104</v>
      </c>
      <c r="K286" s="7" t="s">
        <v>189</v>
      </c>
      <c r="L286" s="9">
        <v>900</v>
      </c>
      <c r="M286" s="9">
        <v>260</v>
      </c>
    </row>
    <row r="287" spans="1:13" ht="18" customHeight="1" x14ac:dyDescent="0.35">
      <c r="A287" s="26" t="s">
        <v>659</v>
      </c>
      <c r="B287" s="3" t="s">
        <v>660</v>
      </c>
      <c r="C287" s="3" t="str">
        <f>PROPER(TRIM(Table3[[#This Row],[Column1]]))</f>
        <v>Deva Balan</v>
      </c>
      <c r="D287" s="2">
        <v>30</v>
      </c>
      <c r="E287" s="2" t="s">
        <v>34</v>
      </c>
      <c r="F287" s="3" t="s">
        <v>16</v>
      </c>
      <c r="G287" s="4">
        <v>44978</v>
      </c>
      <c r="H287" s="3" t="s">
        <v>36</v>
      </c>
      <c r="I287" s="3" t="s">
        <v>75</v>
      </c>
      <c r="J287" s="3" t="s">
        <v>104</v>
      </c>
      <c r="K287" s="3" t="s">
        <v>82</v>
      </c>
      <c r="L287" s="5">
        <v>600</v>
      </c>
      <c r="M287" s="5">
        <v>430</v>
      </c>
    </row>
    <row r="288" spans="1:13" ht="18" customHeight="1" x14ac:dyDescent="0.35">
      <c r="A288" s="27" t="s">
        <v>661</v>
      </c>
      <c r="B288" s="7" t="s">
        <v>662</v>
      </c>
      <c r="C288" s="3" t="str">
        <f>PROPER(TRIM(Table3[[#This Row],[Column1]]))</f>
        <v>Elaya Raja</v>
      </c>
      <c r="D288" s="6">
        <v>5</v>
      </c>
      <c r="E288" s="6" t="s">
        <v>15</v>
      </c>
      <c r="F288" s="7" t="s">
        <v>69</v>
      </c>
      <c r="G288" s="8">
        <v>45331</v>
      </c>
      <c r="H288" s="7" t="s">
        <v>48</v>
      </c>
      <c r="I288" s="7" t="s">
        <v>49</v>
      </c>
      <c r="J288" s="7" t="s">
        <v>50</v>
      </c>
      <c r="K288" s="7" t="s">
        <v>114</v>
      </c>
      <c r="L288" s="9">
        <v>650</v>
      </c>
      <c r="M288" s="9">
        <v>440</v>
      </c>
    </row>
    <row r="289" spans="1:13" ht="18" customHeight="1" x14ac:dyDescent="0.35">
      <c r="A289" s="26" t="s">
        <v>663</v>
      </c>
      <c r="B289" s="3" t="s">
        <v>664</v>
      </c>
      <c r="C289" s="3" t="str">
        <f>PROPER(TRIM(Table3[[#This Row],[Column1]]))</f>
        <v>Guru Iyer</v>
      </c>
      <c r="D289" s="2">
        <v>21</v>
      </c>
      <c r="E289" s="2" t="s">
        <v>15</v>
      </c>
      <c r="F289" s="3" t="s">
        <v>16</v>
      </c>
      <c r="G289" s="4">
        <v>45357</v>
      </c>
      <c r="H289" s="3" t="s">
        <v>42</v>
      </c>
      <c r="I289" s="3" t="s">
        <v>70</v>
      </c>
      <c r="J289" s="3" t="s">
        <v>71</v>
      </c>
      <c r="K289" s="3" t="s">
        <v>45</v>
      </c>
      <c r="L289" s="5">
        <v>350</v>
      </c>
      <c r="M289" s="5">
        <v>230</v>
      </c>
    </row>
    <row r="290" spans="1:13" ht="18" customHeight="1" x14ac:dyDescent="0.35">
      <c r="A290" s="27" t="s">
        <v>665</v>
      </c>
      <c r="B290" s="7" t="s">
        <v>666</v>
      </c>
      <c r="C290" s="3" t="str">
        <f>PROPER(TRIM(Table3[[#This Row],[Column1]]))</f>
        <v>Haran Krishnan</v>
      </c>
      <c r="D290" s="6">
        <v>45</v>
      </c>
      <c r="E290" s="6" t="s">
        <v>34</v>
      </c>
      <c r="F290" s="7" t="s">
        <v>69</v>
      </c>
      <c r="G290" s="8">
        <v>45056</v>
      </c>
      <c r="H290" s="7" t="s">
        <v>28</v>
      </c>
      <c r="I290" s="7" t="s">
        <v>29</v>
      </c>
      <c r="J290" s="7" t="s">
        <v>110</v>
      </c>
      <c r="K290" s="7" t="s">
        <v>61</v>
      </c>
      <c r="L290" s="9">
        <v>450</v>
      </c>
      <c r="M290" s="9">
        <v>280</v>
      </c>
    </row>
    <row r="291" spans="1:13" ht="18" customHeight="1" x14ac:dyDescent="0.35">
      <c r="A291" s="26" t="s">
        <v>667</v>
      </c>
      <c r="B291" s="3" t="s">
        <v>668</v>
      </c>
      <c r="C291" s="3" t="str">
        <f>PROPER(TRIM(Table3[[#This Row],[Column1]]))</f>
        <v>Ilavarsi Singh</v>
      </c>
      <c r="D291" s="2">
        <v>38</v>
      </c>
      <c r="E291" s="2" t="s">
        <v>34</v>
      </c>
      <c r="F291" s="3" t="s">
        <v>35</v>
      </c>
      <c r="G291" s="4">
        <v>45454</v>
      </c>
      <c r="H291" s="3" t="s">
        <v>42</v>
      </c>
      <c r="I291" s="3" t="s">
        <v>89</v>
      </c>
      <c r="J291" s="3" t="s">
        <v>65</v>
      </c>
      <c r="K291" s="3" t="s">
        <v>119</v>
      </c>
      <c r="L291" s="5">
        <v>350</v>
      </c>
      <c r="M291" s="5">
        <v>180</v>
      </c>
    </row>
    <row r="292" spans="1:13" ht="18" customHeight="1" x14ac:dyDescent="0.35">
      <c r="A292" s="27" t="s">
        <v>669</v>
      </c>
      <c r="B292" s="7" t="s">
        <v>670</v>
      </c>
      <c r="C292" s="3" t="str">
        <f>PROPER(TRIM(Table3[[#This Row],[Column1]]))</f>
        <v>Jeeva Menon</v>
      </c>
      <c r="D292" s="6">
        <v>37</v>
      </c>
      <c r="E292" s="6" t="s">
        <v>34</v>
      </c>
      <c r="F292" s="7" t="s">
        <v>16</v>
      </c>
      <c r="G292" s="8">
        <v>45387</v>
      </c>
      <c r="H292" s="7" t="s">
        <v>42</v>
      </c>
      <c r="I292" s="7" t="s">
        <v>70</v>
      </c>
      <c r="J292" s="7" t="s">
        <v>136</v>
      </c>
      <c r="K292" s="7" t="s">
        <v>72</v>
      </c>
      <c r="L292" s="9">
        <v>450</v>
      </c>
      <c r="M292" s="9">
        <v>270</v>
      </c>
    </row>
    <row r="293" spans="1:13" ht="18" customHeight="1" x14ac:dyDescent="0.35">
      <c r="A293" s="26" t="s">
        <v>671</v>
      </c>
      <c r="B293" s="3" t="s">
        <v>672</v>
      </c>
      <c r="C293" s="3" t="str">
        <f>PROPER(TRIM(Table3[[#This Row],[Column1]]))</f>
        <v>Kavi Singh</v>
      </c>
      <c r="D293" s="2">
        <v>28</v>
      </c>
      <c r="E293" s="2" t="s">
        <v>15</v>
      </c>
      <c r="F293" s="3" t="s">
        <v>16</v>
      </c>
      <c r="G293" s="4">
        <v>45369</v>
      </c>
      <c r="H293" s="3" t="s">
        <v>48</v>
      </c>
      <c r="I293" s="3" t="s">
        <v>93</v>
      </c>
      <c r="J293" s="3" t="s">
        <v>55</v>
      </c>
      <c r="K293" s="3" t="s">
        <v>141</v>
      </c>
      <c r="L293" s="5">
        <v>750</v>
      </c>
      <c r="M293" s="5">
        <v>300</v>
      </c>
    </row>
    <row r="294" spans="1:13" ht="18" customHeight="1" x14ac:dyDescent="0.35">
      <c r="A294" s="27" t="s">
        <v>673</v>
      </c>
      <c r="B294" s="7" t="s">
        <v>674</v>
      </c>
      <c r="C294" s="3" t="str">
        <f>PROPER(TRIM(Table3[[#This Row],[Column1]]))</f>
        <v>Aarav Narayanan</v>
      </c>
      <c r="D294" s="6">
        <v>24</v>
      </c>
      <c r="E294" s="6" t="s">
        <v>15</v>
      </c>
      <c r="F294" s="7" t="s">
        <v>35</v>
      </c>
      <c r="G294" s="8">
        <v>45435</v>
      </c>
      <c r="H294" s="7" t="s">
        <v>17</v>
      </c>
      <c r="I294" s="7" t="s">
        <v>18</v>
      </c>
      <c r="J294" s="7" t="s">
        <v>147</v>
      </c>
      <c r="K294" s="7" t="s">
        <v>20</v>
      </c>
      <c r="L294" s="9">
        <v>850</v>
      </c>
      <c r="M294" s="9">
        <v>700</v>
      </c>
    </row>
    <row r="295" spans="1:13" ht="18" customHeight="1" x14ac:dyDescent="0.35">
      <c r="A295" s="26" t="s">
        <v>675</v>
      </c>
      <c r="B295" s="3" t="s">
        <v>676</v>
      </c>
      <c r="C295" s="3" t="str">
        <f>PROPER(TRIM(Table3[[#This Row],[Column1]]))</f>
        <v>Bhavya Devi</v>
      </c>
      <c r="D295" s="2">
        <v>11</v>
      </c>
      <c r="E295" s="2" t="s">
        <v>34</v>
      </c>
      <c r="F295" s="3" t="s">
        <v>35</v>
      </c>
      <c r="G295" s="4">
        <v>45642</v>
      </c>
      <c r="H295" s="3" t="s">
        <v>17</v>
      </c>
      <c r="I295" s="3" t="s">
        <v>23</v>
      </c>
      <c r="J295" s="3" t="s">
        <v>192</v>
      </c>
      <c r="K295" s="3" t="s">
        <v>66</v>
      </c>
      <c r="L295" s="5">
        <v>850</v>
      </c>
      <c r="M295" s="5">
        <v>330</v>
      </c>
    </row>
    <row r="296" spans="1:13" ht="18" customHeight="1" x14ac:dyDescent="0.35">
      <c r="A296" s="27" t="s">
        <v>677</v>
      </c>
      <c r="B296" s="7" t="s">
        <v>678</v>
      </c>
      <c r="C296" s="3" t="str">
        <f>PROPER(TRIM(Table3[[#This Row],[Column1]]))</f>
        <v>Chirag Raja</v>
      </c>
      <c r="D296" s="6">
        <v>32</v>
      </c>
      <c r="E296" s="6" t="s">
        <v>15</v>
      </c>
      <c r="F296" s="7" t="s">
        <v>69</v>
      </c>
      <c r="G296" s="8">
        <v>45175</v>
      </c>
      <c r="H296" s="7" t="s">
        <v>42</v>
      </c>
      <c r="I296" s="7" t="s">
        <v>89</v>
      </c>
      <c r="J296" s="7" t="s">
        <v>85</v>
      </c>
      <c r="K296" s="7" t="s">
        <v>90</v>
      </c>
      <c r="L296" s="9">
        <v>300</v>
      </c>
      <c r="M296" s="9">
        <v>190</v>
      </c>
    </row>
    <row r="297" spans="1:13" ht="18" customHeight="1" x14ac:dyDescent="0.35">
      <c r="A297" s="26" t="s">
        <v>679</v>
      </c>
      <c r="B297" s="3" t="s">
        <v>680</v>
      </c>
      <c r="C297" s="3" t="str">
        <f>PROPER(TRIM(Table3[[#This Row],[Column1]]))</f>
        <v>Deepa Murugan</v>
      </c>
      <c r="D297" s="2">
        <v>55</v>
      </c>
      <c r="E297" s="2" t="s">
        <v>15</v>
      </c>
      <c r="F297" s="3" t="s">
        <v>27</v>
      </c>
      <c r="G297" s="4">
        <v>45580</v>
      </c>
      <c r="H297" s="3" t="s">
        <v>28</v>
      </c>
      <c r="I297" s="3" t="s">
        <v>29</v>
      </c>
      <c r="J297" s="3" t="s">
        <v>174</v>
      </c>
      <c r="K297" s="3" t="s">
        <v>298</v>
      </c>
      <c r="L297" s="5">
        <v>500</v>
      </c>
      <c r="M297" s="5">
        <v>110</v>
      </c>
    </row>
    <row r="298" spans="1:13" ht="18" customHeight="1" x14ac:dyDescent="0.35">
      <c r="A298" s="27" t="s">
        <v>681</v>
      </c>
      <c r="B298" s="7" t="s">
        <v>682</v>
      </c>
      <c r="C298" s="3" t="str">
        <f>PROPER(TRIM(Table3[[#This Row],[Column1]]))</f>
        <v>Elan Iyer</v>
      </c>
      <c r="D298" s="6">
        <v>28</v>
      </c>
      <c r="E298" s="6" t="s">
        <v>34</v>
      </c>
      <c r="F298" s="7" t="s">
        <v>16</v>
      </c>
      <c r="G298" s="8">
        <v>45614</v>
      </c>
      <c r="H298" s="7" t="s">
        <v>36</v>
      </c>
      <c r="I298" s="7" t="s">
        <v>37</v>
      </c>
      <c r="J298" s="7" t="s">
        <v>104</v>
      </c>
      <c r="K298" s="7" t="s">
        <v>39</v>
      </c>
      <c r="L298" s="9">
        <v>650</v>
      </c>
      <c r="M298" s="9">
        <v>420</v>
      </c>
    </row>
    <row r="299" spans="1:13" ht="18" customHeight="1" x14ac:dyDescent="0.35">
      <c r="A299" s="26" t="s">
        <v>683</v>
      </c>
      <c r="B299" s="3" t="s">
        <v>684</v>
      </c>
      <c r="C299" s="3" t="str">
        <f>PROPER(TRIM(Table3[[#This Row],[Column1]]))</f>
        <v>Fatima Chandran</v>
      </c>
      <c r="D299" s="2">
        <v>11</v>
      </c>
      <c r="E299" s="2" t="s">
        <v>15</v>
      </c>
      <c r="F299" s="3" t="s">
        <v>69</v>
      </c>
      <c r="G299" s="4">
        <v>45588</v>
      </c>
      <c r="H299" s="3" t="s">
        <v>48</v>
      </c>
      <c r="I299" s="3" t="s">
        <v>93</v>
      </c>
      <c r="J299" s="3" t="s">
        <v>151</v>
      </c>
      <c r="K299" s="3" t="s">
        <v>51</v>
      </c>
      <c r="L299" s="5">
        <v>750</v>
      </c>
      <c r="M299" s="5">
        <v>430</v>
      </c>
    </row>
    <row r="300" spans="1:13" ht="18" customHeight="1" x14ac:dyDescent="0.35">
      <c r="A300" s="27" t="s">
        <v>685</v>
      </c>
      <c r="B300" s="7" t="s">
        <v>686</v>
      </c>
      <c r="C300" s="3" t="str">
        <f>PROPER(TRIM(Table3[[#This Row],[Column1]]))</f>
        <v>Ganesh Devi</v>
      </c>
      <c r="D300" s="6">
        <v>15</v>
      </c>
      <c r="E300" s="6" t="s">
        <v>15</v>
      </c>
      <c r="F300" s="7" t="s">
        <v>35</v>
      </c>
      <c r="G300" s="8">
        <v>45248</v>
      </c>
      <c r="H300" s="7" t="s">
        <v>28</v>
      </c>
      <c r="I300" s="7" t="s">
        <v>122</v>
      </c>
      <c r="J300" s="7" t="s">
        <v>30</v>
      </c>
      <c r="K300" s="7" t="s">
        <v>31</v>
      </c>
      <c r="L300" s="9">
        <v>450</v>
      </c>
      <c r="M300" s="9">
        <v>120</v>
      </c>
    </row>
    <row r="301" spans="1:13" ht="18" customHeight="1" x14ac:dyDescent="0.35">
      <c r="A301" s="26" t="s">
        <v>687</v>
      </c>
      <c r="B301" s="3" t="s">
        <v>688</v>
      </c>
      <c r="C301" s="3" t="str">
        <f>PROPER(TRIM(Table3[[#This Row],[Column1]]))</f>
        <v>Heena Selvam</v>
      </c>
      <c r="D301" s="2">
        <v>39</v>
      </c>
      <c r="E301" s="2" t="s">
        <v>15</v>
      </c>
      <c r="F301" s="3" t="s">
        <v>27</v>
      </c>
      <c r="G301" s="4">
        <v>45327</v>
      </c>
      <c r="H301" s="3" t="s">
        <v>17</v>
      </c>
      <c r="I301" s="3" t="s">
        <v>23</v>
      </c>
      <c r="J301" s="3" t="s">
        <v>154</v>
      </c>
      <c r="K301" s="3" t="s">
        <v>66</v>
      </c>
      <c r="L301" s="5">
        <v>700</v>
      </c>
      <c r="M301" s="5">
        <v>420</v>
      </c>
    </row>
    <row r="302" spans="1:13" ht="18" customHeight="1" x14ac:dyDescent="0.35">
      <c r="A302" s="27" t="s">
        <v>689</v>
      </c>
      <c r="B302" s="7" t="s">
        <v>690</v>
      </c>
      <c r="C302" s="3" t="str">
        <f>PROPER(TRIM(Table3[[#This Row],[Column1]]))</f>
        <v>Ishaan Chandran</v>
      </c>
      <c r="D302" s="6">
        <v>25</v>
      </c>
      <c r="E302" s="6" t="s">
        <v>15</v>
      </c>
      <c r="F302" s="7" t="s">
        <v>27</v>
      </c>
      <c r="G302" s="8">
        <v>45470</v>
      </c>
      <c r="H302" s="7" t="s">
        <v>36</v>
      </c>
      <c r="I302" s="7" t="s">
        <v>81</v>
      </c>
      <c r="J302" s="7" t="s">
        <v>38</v>
      </c>
      <c r="K302" s="7" t="s">
        <v>189</v>
      </c>
      <c r="L302" s="9">
        <v>800</v>
      </c>
      <c r="M302" s="9">
        <v>560</v>
      </c>
    </row>
    <row r="303" spans="1:13" ht="18" customHeight="1" x14ac:dyDescent="0.35">
      <c r="A303" s="26" t="s">
        <v>691</v>
      </c>
      <c r="B303" s="3" t="s">
        <v>692</v>
      </c>
      <c r="C303" s="3" t="str">
        <f>PROPER(TRIM(Table3[[#This Row],[Column1]]))</f>
        <v>Jasmine Mani</v>
      </c>
      <c r="D303" s="2">
        <v>71</v>
      </c>
      <c r="E303" s="2" t="s">
        <v>15</v>
      </c>
      <c r="F303" s="3" t="s">
        <v>107</v>
      </c>
      <c r="G303" s="4">
        <v>45072</v>
      </c>
      <c r="H303" s="3" t="s">
        <v>42</v>
      </c>
      <c r="I303" s="3" t="s">
        <v>89</v>
      </c>
      <c r="J303" s="3" t="s">
        <v>110</v>
      </c>
      <c r="K303" s="3" t="s">
        <v>129</v>
      </c>
      <c r="L303" s="5">
        <v>450</v>
      </c>
      <c r="M303" s="5">
        <v>280</v>
      </c>
    </row>
    <row r="304" spans="1:13" ht="18" customHeight="1" x14ac:dyDescent="0.35">
      <c r="A304" s="27" t="s">
        <v>693</v>
      </c>
      <c r="B304" s="7" t="s">
        <v>694</v>
      </c>
      <c r="C304" s="3" t="str">
        <f>PROPER(TRIM(Table3[[#This Row],[Column1]]))</f>
        <v>Karthik Iyer</v>
      </c>
      <c r="D304" s="6">
        <v>73</v>
      </c>
      <c r="E304" s="6" t="s">
        <v>34</v>
      </c>
      <c r="F304" s="7" t="s">
        <v>35</v>
      </c>
      <c r="G304" s="8">
        <v>45470</v>
      </c>
      <c r="H304" s="7" t="s">
        <v>28</v>
      </c>
      <c r="I304" s="7" t="s">
        <v>29</v>
      </c>
      <c r="J304" s="7" t="s">
        <v>123</v>
      </c>
      <c r="K304" s="7" t="s">
        <v>111</v>
      </c>
      <c r="L304" s="9">
        <v>400</v>
      </c>
      <c r="M304" s="9">
        <v>290</v>
      </c>
    </row>
    <row r="305" spans="1:13" ht="18" customHeight="1" x14ac:dyDescent="0.35">
      <c r="A305" s="26" t="s">
        <v>695</v>
      </c>
      <c r="B305" s="3" t="s">
        <v>696</v>
      </c>
      <c r="C305" s="3" t="str">
        <f>PROPER(TRIM(Table3[[#This Row],[Column1]]))</f>
        <v>Lavanya Reddy</v>
      </c>
      <c r="D305" s="2">
        <v>17</v>
      </c>
      <c r="E305" s="2" t="s">
        <v>34</v>
      </c>
      <c r="F305" s="3" t="s">
        <v>16</v>
      </c>
      <c r="G305" s="4">
        <v>45209</v>
      </c>
      <c r="H305" s="3" t="s">
        <v>48</v>
      </c>
      <c r="I305" s="3" t="s">
        <v>54</v>
      </c>
      <c r="J305" s="3" t="s">
        <v>50</v>
      </c>
      <c r="K305" s="3" t="s">
        <v>114</v>
      </c>
      <c r="L305" s="5">
        <v>750</v>
      </c>
      <c r="M305" s="5">
        <v>310</v>
      </c>
    </row>
    <row r="306" spans="1:13" ht="18" customHeight="1" x14ac:dyDescent="0.35">
      <c r="A306" s="27" t="s">
        <v>697</v>
      </c>
      <c r="B306" s="7" t="s">
        <v>698</v>
      </c>
      <c r="C306" s="3" t="str">
        <f>PROPER(TRIM(Table3[[#This Row],[Column1]]))</f>
        <v>Mohan Balan</v>
      </c>
      <c r="D306" s="6">
        <v>59</v>
      </c>
      <c r="E306" s="6" t="s">
        <v>15</v>
      </c>
      <c r="F306" s="7" t="s">
        <v>35</v>
      </c>
      <c r="G306" s="8">
        <v>45539</v>
      </c>
      <c r="H306" s="7" t="s">
        <v>28</v>
      </c>
      <c r="I306" s="7" t="s">
        <v>29</v>
      </c>
      <c r="J306" s="7" t="s">
        <v>60</v>
      </c>
      <c r="K306" s="7" t="s">
        <v>31</v>
      </c>
      <c r="L306" s="9">
        <v>600</v>
      </c>
      <c r="M306" s="9">
        <v>240</v>
      </c>
    </row>
    <row r="307" spans="1:13" ht="18" customHeight="1" x14ac:dyDescent="0.35">
      <c r="A307" s="26" t="s">
        <v>699</v>
      </c>
      <c r="B307" s="3" t="s">
        <v>700</v>
      </c>
      <c r="C307" s="3" t="str">
        <f>PROPER(TRIM(Table3[[#This Row],[Column1]]))</f>
        <v>Nisha Rao</v>
      </c>
      <c r="D307" s="2">
        <v>23</v>
      </c>
      <c r="E307" s="2" t="s">
        <v>788</v>
      </c>
      <c r="F307" s="3" t="s">
        <v>69</v>
      </c>
      <c r="G307" s="4">
        <v>45480</v>
      </c>
      <c r="H307" s="3" t="s">
        <v>28</v>
      </c>
      <c r="I307" s="3" t="s">
        <v>29</v>
      </c>
      <c r="J307" s="3" t="s">
        <v>123</v>
      </c>
      <c r="K307" s="3" t="s">
        <v>111</v>
      </c>
      <c r="L307" s="5">
        <v>700</v>
      </c>
      <c r="M307" s="5">
        <v>200</v>
      </c>
    </row>
    <row r="308" spans="1:13" ht="18" customHeight="1" x14ac:dyDescent="0.35">
      <c r="A308" s="27" t="s">
        <v>701</v>
      </c>
      <c r="B308" s="7" t="s">
        <v>702</v>
      </c>
      <c r="C308" s="3" t="str">
        <f>PROPER(TRIM(Table3[[#This Row],[Column1]]))</f>
        <v>Omkar Narayanan</v>
      </c>
      <c r="D308" s="6">
        <v>41</v>
      </c>
      <c r="E308" s="6" t="s">
        <v>787</v>
      </c>
      <c r="F308" s="7" t="s">
        <v>35</v>
      </c>
      <c r="G308" s="8">
        <v>45553</v>
      </c>
      <c r="H308" s="7" t="s">
        <v>48</v>
      </c>
      <c r="I308" s="7" t="s">
        <v>93</v>
      </c>
      <c r="J308" s="7" t="s">
        <v>50</v>
      </c>
      <c r="K308" s="7" t="s">
        <v>114</v>
      </c>
      <c r="L308" s="9">
        <v>750</v>
      </c>
      <c r="M308" s="9">
        <v>230</v>
      </c>
    </row>
    <row r="309" spans="1:13" ht="18" customHeight="1" x14ac:dyDescent="0.35">
      <c r="A309" s="26" t="s">
        <v>703</v>
      </c>
      <c r="B309" s="3" t="s">
        <v>704</v>
      </c>
      <c r="C309" s="3" t="str">
        <f>PROPER(TRIM(Table3[[#This Row],[Column1]]))</f>
        <v>Preethi Rajan</v>
      </c>
      <c r="D309" s="2">
        <v>32</v>
      </c>
      <c r="E309" s="2" t="s">
        <v>788</v>
      </c>
      <c r="F309" s="3" t="s">
        <v>16</v>
      </c>
      <c r="G309" s="4">
        <v>44928</v>
      </c>
      <c r="H309" s="3" t="s">
        <v>28</v>
      </c>
      <c r="I309" s="3" t="s">
        <v>122</v>
      </c>
      <c r="J309" s="3" t="s">
        <v>174</v>
      </c>
      <c r="K309" s="3" t="s">
        <v>371</v>
      </c>
      <c r="L309" s="5">
        <v>600</v>
      </c>
      <c r="M309" s="5">
        <v>280</v>
      </c>
    </row>
    <row r="310" spans="1:13" ht="18" customHeight="1" x14ac:dyDescent="0.35">
      <c r="A310" s="27" t="s">
        <v>705</v>
      </c>
      <c r="B310" s="7" t="s">
        <v>706</v>
      </c>
      <c r="C310" s="3" t="str">
        <f>PROPER(TRIM(Table3[[#This Row],[Column1]]))</f>
        <v>Qasim Kumar</v>
      </c>
      <c r="D310" s="6">
        <v>66</v>
      </c>
      <c r="E310" s="6" t="s">
        <v>787</v>
      </c>
      <c r="F310" s="7" t="s">
        <v>69</v>
      </c>
      <c r="G310" s="8">
        <v>45317</v>
      </c>
      <c r="H310" s="7" t="s">
        <v>36</v>
      </c>
      <c r="I310" s="7" t="s">
        <v>37</v>
      </c>
      <c r="J310" s="7" t="s">
        <v>38</v>
      </c>
      <c r="K310" s="7" t="s">
        <v>133</v>
      </c>
      <c r="L310" s="9">
        <v>650</v>
      </c>
      <c r="M310" s="9">
        <v>330</v>
      </c>
    </row>
    <row r="311" spans="1:13" ht="18" customHeight="1" x14ac:dyDescent="0.35">
      <c r="A311" s="26" t="s">
        <v>707</v>
      </c>
      <c r="B311" s="3" t="s">
        <v>708</v>
      </c>
      <c r="C311" s="3" t="str">
        <f>PROPER(TRIM(Table3[[#This Row],[Column1]]))</f>
        <v>Rekha Nair</v>
      </c>
      <c r="D311" s="2">
        <v>32</v>
      </c>
      <c r="E311" s="2" t="s">
        <v>787</v>
      </c>
      <c r="F311" s="3" t="s">
        <v>16</v>
      </c>
      <c r="G311" s="4">
        <v>44988</v>
      </c>
      <c r="H311" s="3" t="s">
        <v>17</v>
      </c>
      <c r="I311" s="3" t="s">
        <v>23</v>
      </c>
      <c r="J311" s="3" t="s">
        <v>147</v>
      </c>
      <c r="K311" s="3" t="s">
        <v>24</v>
      </c>
      <c r="L311" s="5">
        <v>1150</v>
      </c>
      <c r="M311" s="5">
        <v>630</v>
      </c>
    </row>
    <row r="312" spans="1:13" ht="18" customHeight="1" x14ac:dyDescent="0.35">
      <c r="A312" s="27" t="s">
        <v>709</v>
      </c>
      <c r="B312" s="7" t="s">
        <v>710</v>
      </c>
      <c r="C312" s="3" t="str">
        <f>PROPER(TRIM(Table3[[#This Row],[Column1]]))</f>
        <v>Sanjay Patel</v>
      </c>
      <c r="D312" s="6">
        <v>13</v>
      </c>
      <c r="E312" s="6" t="s">
        <v>34</v>
      </c>
      <c r="F312" s="7" t="s">
        <v>35</v>
      </c>
      <c r="G312" s="8">
        <v>45162</v>
      </c>
      <c r="H312" s="7" t="s">
        <v>28</v>
      </c>
      <c r="I312" s="7" t="s">
        <v>122</v>
      </c>
      <c r="J312" s="7" t="s">
        <v>110</v>
      </c>
      <c r="K312" s="7" t="s">
        <v>111</v>
      </c>
      <c r="L312" s="9">
        <v>500</v>
      </c>
      <c r="M312" s="9">
        <v>220</v>
      </c>
    </row>
    <row r="313" spans="1:13" ht="18" customHeight="1" x14ac:dyDescent="0.35">
      <c r="A313" s="26" t="s">
        <v>711</v>
      </c>
      <c r="B313" s="3" t="s">
        <v>712</v>
      </c>
      <c r="C313" s="3" t="str">
        <f>PROPER(TRIM(Table3[[#This Row],[Column1]]))</f>
        <v>Tanya Chandran</v>
      </c>
      <c r="D313" s="2">
        <v>56</v>
      </c>
      <c r="E313" s="2" t="s">
        <v>15</v>
      </c>
      <c r="F313" s="3" t="s">
        <v>16</v>
      </c>
      <c r="G313" s="4">
        <v>45334</v>
      </c>
      <c r="H313" s="3" t="s">
        <v>48</v>
      </c>
      <c r="I313" s="3" t="s">
        <v>93</v>
      </c>
      <c r="J313" s="3" t="s">
        <v>55</v>
      </c>
      <c r="K313" s="3" t="s">
        <v>95</v>
      </c>
      <c r="L313" s="5">
        <v>900</v>
      </c>
      <c r="M313" s="5">
        <v>440</v>
      </c>
    </row>
    <row r="314" spans="1:13" ht="18" customHeight="1" x14ac:dyDescent="0.35">
      <c r="A314" s="27" t="s">
        <v>713</v>
      </c>
      <c r="B314" s="7" t="s">
        <v>714</v>
      </c>
      <c r="C314" s="3" t="str">
        <f>PROPER(TRIM(Table3[[#This Row],[Column1]]))</f>
        <v>Uday Reddy</v>
      </c>
      <c r="D314" s="6">
        <v>32</v>
      </c>
      <c r="E314" s="6" t="s">
        <v>15</v>
      </c>
      <c r="F314" s="7" t="s">
        <v>27</v>
      </c>
      <c r="G314" s="8">
        <v>45358</v>
      </c>
      <c r="H314" s="7" t="s">
        <v>17</v>
      </c>
      <c r="I314" s="7" t="s">
        <v>23</v>
      </c>
      <c r="J314" s="7" t="s">
        <v>192</v>
      </c>
      <c r="K314" s="7" t="s">
        <v>148</v>
      </c>
      <c r="L314" s="9">
        <v>1000</v>
      </c>
      <c r="M314" s="9">
        <v>800</v>
      </c>
    </row>
    <row r="315" spans="1:13" ht="18" customHeight="1" x14ac:dyDescent="0.35">
      <c r="A315" s="26" t="s">
        <v>715</v>
      </c>
      <c r="B315" s="3" t="s">
        <v>716</v>
      </c>
      <c r="C315" s="3" t="str">
        <f>PROPER(TRIM(Table3[[#This Row],[Column1]]))</f>
        <v>Vimala Patel</v>
      </c>
      <c r="D315" s="2">
        <v>40</v>
      </c>
      <c r="E315" s="2" t="s">
        <v>34</v>
      </c>
      <c r="F315" s="3" t="s">
        <v>16</v>
      </c>
      <c r="G315" s="4">
        <v>45647</v>
      </c>
      <c r="H315" s="3" t="s">
        <v>36</v>
      </c>
      <c r="I315" s="3" t="s">
        <v>37</v>
      </c>
      <c r="J315" s="3" t="s">
        <v>76</v>
      </c>
      <c r="K315" s="3" t="s">
        <v>133</v>
      </c>
      <c r="L315" s="5">
        <v>1000</v>
      </c>
      <c r="M315" s="5">
        <v>250</v>
      </c>
    </row>
    <row r="316" spans="1:13" ht="18" customHeight="1" x14ac:dyDescent="0.35">
      <c r="A316" s="27" t="s">
        <v>717</v>
      </c>
      <c r="B316" s="7" t="s">
        <v>718</v>
      </c>
      <c r="C316" s="3" t="str">
        <f>PROPER(TRIM(Table3[[#This Row],[Column1]]))</f>
        <v>Wasim Selvam</v>
      </c>
      <c r="D316" s="6">
        <v>37</v>
      </c>
      <c r="E316" s="6" t="s">
        <v>34</v>
      </c>
      <c r="F316" s="7" t="s">
        <v>16</v>
      </c>
      <c r="G316" s="8">
        <v>45182</v>
      </c>
      <c r="H316" s="7" t="s">
        <v>17</v>
      </c>
      <c r="I316" s="7" t="s">
        <v>18</v>
      </c>
      <c r="J316" s="7" t="s">
        <v>19</v>
      </c>
      <c r="K316" s="7" t="s">
        <v>148</v>
      </c>
      <c r="L316" s="9">
        <v>1000</v>
      </c>
      <c r="M316" s="9">
        <v>340</v>
      </c>
    </row>
    <row r="317" spans="1:13" ht="18" customHeight="1" x14ac:dyDescent="0.35">
      <c r="A317" s="26" t="s">
        <v>719</v>
      </c>
      <c r="B317" s="3" t="s">
        <v>720</v>
      </c>
      <c r="C317" s="3" t="str">
        <f>PROPER(TRIM(Table3[[#This Row],[Column1]]))</f>
        <v>Xena Vel</v>
      </c>
      <c r="D317" s="2">
        <v>20</v>
      </c>
      <c r="E317" s="2" t="s">
        <v>34</v>
      </c>
      <c r="F317" s="3" t="s">
        <v>35</v>
      </c>
      <c r="G317" s="4">
        <v>45211</v>
      </c>
      <c r="H317" s="3" t="s">
        <v>48</v>
      </c>
      <c r="I317" s="3" t="s">
        <v>93</v>
      </c>
      <c r="J317" s="3" t="s">
        <v>151</v>
      </c>
      <c r="K317" s="3" t="s">
        <v>141</v>
      </c>
      <c r="L317" s="5">
        <v>500</v>
      </c>
      <c r="M317" s="5">
        <v>410</v>
      </c>
    </row>
    <row r="318" spans="1:13" ht="18" customHeight="1" x14ac:dyDescent="0.35">
      <c r="A318" s="27" t="s">
        <v>721</v>
      </c>
      <c r="B318" s="7" t="s">
        <v>722</v>
      </c>
      <c r="C318" s="3" t="str">
        <f>PROPER(TRIM(Table3[[#This Row],[Column1]]))</f>
        <v>Yogesh Kumar</v>
      </c>
      <c r="D318" s="6">
        <v>30</v>
      </c>
      <c r="E318" s="6" t="s">
        <v>15</v>
      </c>
      <c r="F318" s="7" t="s">
        <v>16</v>
      </c>
      <c r="G318" s="8">
        <v>45009</v>
      </c>
      <c r="H318" s="7" t="s">
        <v>17</v>
      </c>
      <c r="I318" s="7" t="s">
        <v>23</v>
      </c>
      <c r="J318" s="7" t="s">
        <v>192</v>
      </c>
      <c r="K318" s="7" t="s">
        <v>20</v>
      </c>
      <c r="L318" s="9">
        <v>750</v>
      </c>
      <c r="M318" s="9">
        <v>760</v>
      </c>
    </row>
    <row r="319" spans="1:13" ht="18" customHeight="1" x14ac:dyDescent="0.35">
      <c r="A319" s="26" t="s">
        <v>723</v>
      </c>
      <c r="B319" s="3" t="s">
        <v>724</v>
      </c>
      <c r="C319" s="3" t="str">
        <f>PROPER(TRIM(Table3[[#This Row],[Column1]]))</f>
        <v>Zara Devi</v>
      </c>
      <c r="D319" s="2">
        <v>40</v>
      </c>
      <c r="E319" s="2" t="s">
        <v>15</v>
      </c>
      <c r="F319" s="3" t="s">
        <v>16</v>
      </c>
      <c r="G319" s="4">
        <v>45470</v>
      </c>
      <c r="H319" s="3" t="s">
        <v>42</v>
      </c>
      <c r="I319" s="3" t="s">
        <v>89</v>
      </c>
      <c r="J319" s="3" t="s">
        <v>71</v>
      </c>
      <c r="K319" s="3" t="s">
        <v>72</v>
      </c>
      <c r="L319" s="5">
        <v>350</v>
      </c>
      <c r="M319" s="5">
        <v>110</v>
      </c>
    </row>
    <row r="320" spans="1:13" ht="18" customHeight="1" x14ac:dyDescent="0.35">
      <c r="A320" s="27" t="s">
        <v>725</v>
      </c>
      <c r="B320" s="7" t="s">
        <v>726</v>
      </c>
      <c r="C320" s="3" t="str">
        <f>PROPER(TRIM(Table3[[#This Row],[Column1]]))</f>
        <v>Arjun Mani</v>
      </c>
      <c r="D320" s="6">
        <v>4</v>
      </c>
      <c r="E320" s="6" t="s">
        <v>15</v>
      </c>
      <c r="F320" s="7" t="s">
        <v>107</v>
      </c>
      <c r="G320" s="8">
        <v>44977</v>
      </c>
      <c r="H320" s="7" t="s">
        <v>48</v>
      </c>
      <c r="I320" s="7" t="s">
        <v>54</v>
      </c>
      <c r="J320" s="7" t="s">
        <v>151</v>
      </c>
      <c r="K320" s="7" t="s">
        <v>141</v>
      </c>
      <c r="L320" s="9">
        <v>650</v>
      </c>
      <c r="M320" s="9">
        <v>220</v>
      </c>
    </row>
    <row r="321" spans="1:13" ht="18" customHeight="1" x14ac:dyDescent="0.35">
      <c r="A321" s="26" t="s">
        <v>727</v>
      </c>
      <c r="B321" s="3" t="s">
        <v>728</v>
      </c>
      <c r="C321" s="3" t="str">
        <f>PROPER(TRIM(Table3[[#This Row],[Column1]]))</f>
        <v>Bhanu Balan</v>
      </c>
      <c r="D321" s="2">
        <v>17</v>
      </c>
      <c r="E321" s="2" t="s">
        <v>34</v>
      </c>
      <c r="F321" s="3" t="s">
        <v>35</v>
      </c>
      <c r="G321" s="4">
        <v>45418</v>
      </c>
      <c r="H321" s="3" t="s">
        <v>17</v>
      </c>
      <c r="I321" s="3" t="s">
        <v>64</v>
      </c>
      <c r="J321" s="3" t="s">
        <v>154</v>
      </c>
      <c r="K321" s="3" t="s">
        <v>20</v>
      </c>
      <c r="L321" s="5">
        <v>1000</v>
      </c>
      <c r="M321" s="5">
        <v>320</v>
      </c>
    </row>
    <row r="322" spans="1:13" ht="18" customHeight="1" x14ac:dyDescent="0.35">
      <c r="A322" s="29" t="s">
        <v>729</v>
      </c>
      <c r="B322" s="30" t="s">
        <v>342</v>
      </c>
      <c r="C322" s="3" t="str">
        <f>PROPER(TRIM(Table3[[#This Row],[Column1]]))</f>
        <v>Chitra Singh</v>
      </c>
      <c r="D322" s="31">
        <v>80</v>
      </c>
      <c r="E322" s="31" t="s">
        <v>15</v>
      </c>
      <c r="F322" s="30" t="s">
        <v>80</v>
      </c>
      <c r="G322" s="32">
        <v>45430</v>
      </c>
      <c r="H322" s="30" t="s">
        <v>48</v>
      </c>
      <c r="I322" s="30" t="s">
        <v>54</v>
      </c>
      <c r="J322" s="30" t="s">
        <v>50</v>
      </c>
      <c r="K322" s="30" t="s">
        <v>51</v>
      </c>
      <c r="L322" s="33">
        <v>700</v>
      </c>
      <c r="M322" s="33">
        <v>190</v>
      </c>
    </row>
  </sheetData>
  <phoneticPr fontId="7" type="noConversion"/>
  <dataValidations count="1">
    <dataValidation type="list" allowBlank="1" showInputMessage="1" showErrorMessage="1" sqref="AU44" xr:uid="{EE7496CA-F591-4FC8-B93B-EA4213C0925B}">
      <formula1>"male,female"</formula1>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C0FF0-2FE9-4B13-91B3-F15C24E87697}">
  <dimension ref="A1:C4"/>
  <sheetViews>
    <sheetView tabSelected="1" workbookViewId="0">
      <selection activeCell="A5" sqref="A5"/>
    </sheetView>
  </sheetViews>
  <sheetFormatPr defaultRowHeight="14.5" x14ac:dyDescent="0.35"/>
  <cols>
    <col min="3" max="3" width="23.54296875" bestFit="1" customWidth="1"/>
  </cols>
  <sheetData>
    <row r="1" spans="1:3" x14ac:dyDescent="0.35">
      <c r="A1" t="s">
        <v>792</v>
      </c>
      <c r="B1" t="s">
        <v>793</v>
      </c>
      <c r="C1" t="s">
        <v>794</v>
      </c>
    </row>
    <row r="2" spans="1:3" x14ac:dyDescent="0.35">
      <c r="A2">
        <v>1</v>
      </c>
      <c r="B2" t="s">
        <v>795</v>
      </c>
      <c r="C2" t="s">
        <v>796</v>
      </c>
    </row>
    <row r="3" spans="1:3" x14ac:dyDescent="0.35">
      <c r="A3">
        <v>2</v>
      </c>
      <c r="B3" t="s">
        <v>795</v>
      </c>
      <c r="C3" t="s">
        <v>797</v>
      </c>
    </row>
    <row r="4" spans="1:3" x14ac:dyDescent="0.35">
      <c r="A4">
        <v>3</v>
      </c>
      <c r="B4" t="s">
        <v>795</v>
      </c>
      <c r="C4" t="s">
        <v>798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D2B3-8C07-4285-977A-F539449642AB}">
  <dimension ref="A1"/>
  <sheetViews>
    <sheetView workbookViewId="0"/>
  </sheetViews>
  <sheetFormatPr defaultRowHeight="14.5" x14ac:dyDescent="0.3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22"/>
  <sheetViews>
    <sheetView zoomScale="85" zoomScaleNormal="85" workbookViewId="0">
      <pane ySplit="2" topLeftCell="A3" activePane="bottomLeft" state="frozen"/>
      <selection pane="bottomLeft" activeCell="D6" sqref="D6"/>
    </sheetView>
  </sheetViews>
  <sheetFormatPr defaultColWidth="8.6328125" defaultRowHeight="14.5" x14ac:dyDescent="0.35"/>
  <cols>
    <col min="1" max="1" width="16" customWidth="1"/>
    <col min="2" max="2" width="24" customWidth="1"/>
    <col min="3" max="3" width="7" customWidth="1"/>
    <col min="4" max="4" width="9" customWidth="1"/>
    <col min="5" max="6" width="14" customWidth="1"/>
    <col min="7" max="7" width="18" customWidth="1"/>
    <col min="8" max="8" width="22" customWidth="1"/>
    <col min="9" max="9" width="18" customWidth="1"/>
    <col min="10" max="10" width="22" customWidth="1"/>
    <col min="11" max="11" width="18" customWidth="1"/>
    <col min="12" max="12" width="16" customWidth="1"/>
  </cols>
  <sheetData>
    <row r="1" spans="1:12" ht="30" customHeight="1" x14ac:dyDescent="0.35">
      <c r="A1" s="10" t="s">
        <v>0</v>
      </c>
      <c r="B1" s="10"/>
      <c r="C1" s="10"/>
      <c r="D1" s="10"/>
      <c r="E1" s="10"/>
      <c r="F1" s="10"/>
      <c r="G1" s="10"/>
      <c r="H1" s="10"/>
      <c r="I1" s="10"/>
      <c r="J1" s="10"/>
      <c r="K1" s="10"/>
      <c r="L1" s="10"/>
    </row>
    <row r="2" spans="1:12" ht="21.75" customHeight="1" x14ac:dyDescent="0.35">
      <c r="A2" s="1" t="s">
        <v>1</v>
      </c>
      <c r="B2" s="1" t="s">
        <v>2</v>
      </c>
      <c r="C2" s="1" t="s">
        <v>3</v>
      </c>
      <c r="D2" s="1" t="s">
        <v>4</v>
      </c>
      <c r="E2" s="1" t="s">
        <v>5</v>
      </c>
      <c r="F2" s="1" t="s">
        <v>6</v>
      </c>
      <c r="G2" s="1" t="s">
        <v>7</v>
      </c>
      <c r="H2" s="1" t="s">
        <v>8</v>
      </c>
      <c r="I2" s="1" t="s">
        <v>9</v>
      </c>
      <c r="J2" s="1" t="s">
        <v>10</v>
      </c>
      <c r="K2" s="1" t="s">
        <v>11</v>
      </c>
      <c r="L2" s="1" t="s">
        <v>12</v>
      </c>
    </row>
    <row r="3" spans="1:12" ht="18" customHeight="1" x14ac:dyDescent="0.35">
      <c r="A3" s="2" t="s">
        <v>13</v>
      </c>
      <c r="B3" s="3" t="s">
        <v>14</v>
      </c>
      <c r="C3" s="2">
        <v>56</v>
      </c>
      <c r="D3" s="2" t="s">
        <v>15</v>
      </c>
      <c r="E3" s="3" t="s">
        <v>16</v>
      </c>
      <c r="F3" s="4">
        <v>45567</v>
      </c>
      <c r="G3" s="3" t="s">
        <v>17</v>
      </c>
      <c r="H3" s="3" t="s">
        <v>18</v>
      </c>
      <c r="I3" s="3" t="s">
        <v>19</v>
      </c>
      <c r="J3" s="3" t="s">
        <v>20</v>
      </c>
      <c r="K3" s="5">
        <v>800</v>
      </c>
      <c r="L3" s="5">
        <v>870</v>
      </c>
    </row>
    <row r="4" spans="1:12" ht="18" customHeight="1" x14ac:dyDescent="0.35">
      <c r="A4" s="6" t="s">
        <v>21</v>
      </c>
      <c r="B4" s="7" t="s">
        <v>22</v>
      </c>
      <c r="C4" s="6">
        <v>11</v>
      </c>
      <c r="D4" s="6" t="s">
        <v>15</v>
      </c>
      <c r="E4" s="7" t="s">
        <v>16</v>
      </c>
      <c r="F4" s="8">
        <v>45386</v>
      </c>
      <c r="G4" s="7" t="s">
        <v>17</v>
      </c>
      <c r="H4" s="7" t="s">
        <v>23</v>
      </c>
      <c r="I4" s="7" t="s">
        <v>19</v>
      </c>
      <c r="J4" s="7" t="s">
        <v>24</v>
      </c>
      <c r="K4" s="9">
        <v>750</v>
      </c>
      <c r="L4" s="9">
        <v>870</v>
      </c>
    </row>
    <row r="5" spans="1:12" ht="18" customHeight="1" x14ac:dyDescent="0.35">
      <c r="A5" s="2" t="s">
        <v>25</v>
      </c>
      <c r="B5" s="3" t="s">
        <v>26</v>
      </c>
      <c r="C5" s="2">
        <v>26</v>
      </c>
      <c r="D5" s="2" t="s">
        <v>15</v>
      </c>
      <c r="E5" s="3" t="s">
        <v>27</v>
      </c>
      <c r="F5" s="4">
        <v>45538</v>
      </c>
      <c r="G5" s="3" t="s">
        <v>28</v>
      </c>
      <c r="H5" s="3" t="s">
        <v>29</v>
      </c>
      <c r="I5" s="3" t="s">
        <v>30</v>
      </c>
      <c r="J5" s="3" t="s">
        <v>31</v>
      </c>
      <c r="K5" s="5">
        <v>500</v>
      </c>
      <c r="L5" s="5">
        <v>220</v>
      </c>
    </row>
    <row r="6" spans="1:12" ht="18" customHeight="1" x14ac:dyDescent="0.35">
      <c r="A6" s="6" t="s">
        <v>32</v>
      </c>
      <c r="B6" s="7" t="s">
        <v>33</v>
      </c>
      <c r="C6" s="6">
        <v>52</v>
      </c>
      <c r="D6" s="6" t="s">
        <v>34</v>
      </c>
      <c r="E6" s="7" t="s">
        <v>35</v>
      </c>
      <c r="F6" s="8">
        <v>45268</v>
      </c>
      <c r="G6" s="7" t="s">
        <v>36</v>
      </c>
      <c r="H6" s="7" t="s">
        <v>37</v>
      </c>
      <c r="I6" s="7" t="s">
        <v>38</v>
      </c>
      <c r="J6" s="7" t="s">
        <v>39</v>
      </c>
      <c r="K6" s="9">
        <v>1000</v>
      </c>
      <c r="L6" s="9">
        <v>230</v>
      </c>
    </row>
    <row r="7" spans="1:12" ht="18" customHeight="1" x14ac:dyDescent="0.35">
      <c r="A7" s="2" t="s">
        <v>40</v>
      </c>
      <c r="B7" s="3" t="s">
        <v>41</v>
      </c>
      <c r="C7" s="2">
        <v>59</v>
      </c>
      <c r="D7" s="2" t="s">
        <v>34</v>
      </c>
      <c r="E7" s="3" t="s">
        <v>35</v>
      </c>
      <c r="F7" s="4">
        <v>45630</v>
      </c>
      <c r="G7" s="3" t="s">
        <v>42</v>
      </c>
      <c r="H7" s="3" t="s">
        <v>43</v>
      </c>
      <c r="I7" s="3" t="s">
        <v>44</v>
      </c>
      <c r="J7" s="3" t="s">
        <v>45</v>
      </c>
      <c r="K7" s="5">
        <v>300</v>
      </c>
      <c r="L7" s="5">
        <v>220</v>
      </c>
    </row>
    <row r="8" spans="1:12" ht="18" customHeight="1" x14ac:dyDescent="0.35">
      <c r="A8" s="6" t="s">
        <v>46</v>
      </c>
      <c r="B8" s="7" t="s">
        <v>47</v>
      </c>
      <c r="C8" s="6">
        <v>34</v>
      </c>
      <c r="D8" s="6" t="s">
        <v>15</v>
      </c>
      <c r="E8" s="7" t="s">
        <v>27</v>
      </c>
      <c r="F8" s="8">
        <v>45227</v>
      </c>
      <c r="G8" s="7" t="s">
        <v>48</v>
      </c>
      <c r="H8" s="7" t="s">
        <v>49</v>
      </c>
      <c r="I8" s="7" t="s">
        <v>50</v>
      </c>
      <c r="J8" s="7" t="s">
        <v>51</v>
      </c>
      <c r="K8" s="9">
        <v>700</v>
      </c>
      <c r="L8" s="9">
        <v>280</v>
      </c>
    </row>
    <row r="9" spans="1:12" ht="18" customHeight="1" x14ac:dyDescent="0.35">
      <c r="A9" s="2" t="s">
        <v>52</v>
      </c>
      <c r="B9" s="3" t="s">
        <v>53</v>
      </c>
      <c r="C9" s="2">
        <v>54</v>
      </c>
      <c r="D9" s="2" t="s">
        <v>772</v>
      </c>
      <c r="E9" s="3" t="s">
        <v>35</v>
      </c>
      <c r="F9" s="4">
        <v>44990</v>
      </c>
      <c r="G9" s="3" t="s">
        <v>48</v>
      </c>
      <c r="H9" s="3" t="s">
        <v>54</v>
      </c>
      <c r="I9" s="3" t="s">
        <v>55</v>
      </c>
      <c r="J9" s="3" t="s">
        <v>56</v>
      </c>
      <c r="K9" s="5">
        <v>650</v>
      </c>
      <c r="L9" s="5">
        <v>210</v>
      </c>
    </row>
    <row r="10" spans="1:12" ht="18" customHeight="1" x14ac:dyDescent="0.35">
      <c r="A10" s="6" t="s">
        <v>57</v>
      </c>
      <c r="B10" s="7" t="s">
        <v>58</v>
      </c>
      <c r="C10" s="6">
        <v>9</v>
      </c>
      <c r="D10" s="6" t="s">
        <v>15</v>
      </c>
      <c r="E10" s="7" t="s">
        <v>16</v>
      </c>
      <c r="F10" s="8">
        <v>45607</v>
      </c>
      <c r="G10" s="7" t="s">
        <v>28</v>
      </c>
      <c r="H10" s="7" t="s">
        <v>59</v>
      </c>
      <c r="I10" s="7" t="s">
        <v>60</v>
      </c>
      <c r="J10" s="7" t="s">
        <v>61</v>
      </c>
      <c r="K10" s="9">
        <v>600</v>
      </c>
      <c r="L10" s="9">
        <v>290</v>
      </c>
    </row>
    <row r="11" spans="1:12" ht="18" customHeight="1" x14ac:dyDescent="0.35">
      <c r="A11" s="2" t="s">
        <v>62</v>
      </c>
      <c r="B11" s="3" t="s">
        <v>63</v>
      </c>
      <c r="C11" s="2">
        <v>23</v>
      </c>
      <c r="D11" s="2" t="s">
        <v>34</v>
      </c>
      <c r="E11" s="3" t="s">
        <v>27</v>
      </c>
      <c r="F11" s="4">
        <v>45070</v>
      </c>
      <c r="G11" s="3" t="s">
        <v>17</v>
      </c>
      <c r="H11" s="3" t="s">
        <v>64</v>
      </c>
      <c r="I11" s="3" t="s">
        <v>65</v>
      </c>
      <c r="J11" s="3" t="s">
        <v>66</v>
      </c>
      <c r="K11" s="5">
        <v>950</v>
      </c>
      <c r="L11" s="5">
        <v>720</v>
      </c>
    </row>
    <row r="12" spans="1:12" ht="18" customHeight="1" x14ac:dyDescent="0.35">
      <c r="A12" s="6" t="s">
        <v>67</v>
      </c>
      <c r="B12" s="7" t="s">
        <v>68</v>
      </c>
      <c r="C12" s="6">
        <v>37</v>
      </c>
      <c r="D12" s="6" t="s">
        <v>772</v>
      </c>
      <c r="E12" s="7" t="s">
        <v>69</v>
      </c>
      <c r="F12" s="8">
        <v>45336</v>
      </c>
      <c r="G12" s="7" t="s">
        <v>42</v>
      </c>
      <c r="H12" s="7" t="s">
        <v>70</v>
      </c>
      <c r="I12" s="7" t="s">
        <v>71</v>
      </c>
      <c r="J12" s="7" t="s">
        <v>72</v>
      </c>
      <c r="K12" s="9">
        <v>350</v>
      </c>
      <c r="L12" s="9">
        <v>190</v>
      </c>
    </row>
    <row r="13" spans="1:12" ht="18" customHeight="1" x14ac:dyDescent="0.35">
      <c r="A13" s="2" t="s">
        <v>73</v>
      </c>
      <c r="B13" s="3" t="s">
        <v>74</v>
      </c>
      <c r="C13" s="2">
        <v>27</v>
      </c>
      <c r="D13" s="2" t="s">
        <v>15</v>
      </c>
      <c r="E13" s="3" t="s">
        <v>16</v>
      </c>
      <c r="F13" s="4">
        <v>45598</v>
      </c>
      <c r="G13" s="3" t="s">
        <v>36</v>
      </c>
      <c r="H13" s="3" t="s">
        <v>75</v>
      </c>
      <c r="I13" s="3" t="s">
        <v>76</v>
      </c>
      <c r="J13" s="3" t="s">
        <v>77</v>
      </c>
      <c r="K13" s="5">
        <v>900</v>
      </c>
      <c r="L13" s="5">
        <v>320</v>
      </c>
    </row>
    <row r="14" spans="1:12" ht="18" customHeight="1" x14ac:dyDescent="0.35">
      <c r="A14" s="6" t="s">
        <v>78</v>
      </c>
      <c r="B14" s="7" t="s">
        <v>79</v>
      </c>
      <c r="C14" s="6">
        <v>15</v>
      </c>
      <c r="D14" s="6" t="s">
        <v>15</v>
      </c>
      <c r="E14" s="7" t="s">
        <v>80</v>
      </c>
      <c r="F14" s="8">
        <v>45040</v>
      </c>
      <c r="G14" s="7" t="s">
        <v>36</v>
      </c>
      <c r="H14" s="7" t="s">
        <v>81</v>
      </c>
      <c r="I14" s="7" t="s">
        <v>76</v>
      </c>
      <c r="J14" s="7" t="s">
        <v>82</v>
      </c>
      <c r="K14" s="9">
        <v>900</v>
      </c>
      <c r="L14" s="9">
        <v>300</v>
      </c>
    </row>
    <row r="15" spans="1:12" ht="18" customHeight="1" x14ac:dyDescent="0.35">
      <c r="A15" s="2" t="s">
        <v>83</v>
      </c>
      <c r="B15" s="3" t="s">
        <v>84</v>
      </c>
      <c r="C15" s="2">
        <v>64</v>
      </c>
      <c r="D15" s="2" t="s">
        <v>34</v>
      </c>
      <c r="E15" s="3" t="s">
        <v>16</v>
      </c>
      <c r="F15" s="4">
        <v>45605</v>
      </c>
      <c r="G15" s="3" t="s">
        <v>42</v>
      </c>
      <c r="H15" s="3" t="s">
        <v>43</v>
      </c>
      <c r="I15" s="3" t="s">
        <v>85</v>
      </c>
      <c r="J15" s="3" t="s">
        <v>86</v>
      </c>
      <c r="K15" s="5">
        <v>450</v>
      </c>
      <c r="L15" s="5">
        <v>380</v>
      </c>
    </row>
    <row r="16" spans="1:12" ht="18" customHeight="1" x14ac:dyDescent="0.35">
      <c r="A16" s="6" t="s">
        <v>87</v>
      </c>
      <c r="B16" s="7" t="s">
        <v>88</v>
      </c>
      <c r="C16" s="6">
        <v>33</v>
      </c>
      <c r="D16" s="6" t="s">
        <v>773</v>
      </c>
      <c r="E16" s="7" t="s">
        <v>35</v>
      </c>
      <c r="F16" s="8">
        <v>45172</v>
      </c>
      <c r="G16" s="7" t="s">
        <v>42</v>
      </c>
      <c r="H16" s="7" t="s">
        <v>89</v>
      </c>
      <c r="I16" s="7" t="s">
        <v>71</v>
      </c>
      <c r="J16" s="7" t="s">
        <v>90</v>
      </c>
      <c r="K16" s="9">
        <v>400</v>
      </c>
      <c r="L16" s="9">
        <v>350</v>
      </c>
    </row>
    <row r="17" spans="1:12" ht="18" customHeight="1" x14ac:dyDescent="0.35">
      <c r="A17" s="2" t="s">
        <v>91</v>
      </c>
      <c r="B17" s="3" t="s">
        <v>92</v>
      </c>
      <c r="C17" s="2">
        <v>7</v>
      </c>
      <c r="D17" s="2" t="s">
        <v>34</v>
      </c>
      <c r="E17" s="3" t="s">
        <v>35</v>
      </c>
      <c r="F17" s="4">
        <v>45084</v>
      </c>
      <c r="G17" s="3" t="s">
        <v>48</v>
      </c>
      <c r="H17" s="3" t="s">
        <v>93</v>
      </c>
      <c r="I17" s="3" t="s">
        <v>94</v>
      </c>
      <c r="J17" s="3" t="s">
        <v>95</v>
      </c>
      <c r="K17" s="5">
        <v>650</v>
      </c>
      <c r="L17" s="5">
        <v>490</v>
      </c>
    </row>
    <row r="18" spans="1:12" ht="18" customHeight="1" x14ac:dyDescent="0.35">
      <c r="A18" s="6" t="s">
        <v>96</v>
      </c>
      <c r="B18" s="7" t="s">
        <v>97</v>
      </c>
      <c r="C18" s="6">
        <v>41</v>
      </c>
      <c r="D18" s="6" t="s">
        <v>34</v>
      </c>
      <c r="E18" s="7" t="s">
        <v>27</v>
      </c>
      <c r="F18" s="8">
        <v>44963</v>
      </c>
      <c r="G18" s="7" t="s">
        <v>17</v>
      </c>
      <c r="H18" s="7" t="s">
        <v>18</v>
      </c>
      <c r="I18" s="7" t="s">
        <v>19</v>
      </c>
      <c r="J18" s="7" t="s">
        <v>20</v>
      </c>
      <c r="K18" s="9">
        <v>850</v>
      </c>
      <c r="L18" s="9">
        <v>500</v>
      </c>
    </row>
    <row r="19" spans="1:12" ht="18" customHeight="1" x14ac:dyDescent="0.35">
      <c r="A19" s="2" t="s">
        <v>98</v>
      </c>
      <c r="B19" s="3" t="s">
        <v>99</v>
      </c>
      <c r="C19" s="2">
        <v>49</v>
      </c>
      <c r="D19" s="2" t="s">
        <v>34</v>
      </c>
      <c r="E19" s="3" t="s">
        <v>16</v>
      </c>
      <c r="F19" s="4">
        <v>45349</v>
      </c>
      <c r="G19" s="3" t="s">
        <v>48</v>
      </c>
      <c r="H19" s="3" t="s">
        <v>49</v>
      </c>
      <c r="I19" s="3" t="s">
        <v>94</v>
      </c>
      <c r="J19" s="3" t="s">
        <v>56</v>
      </c>
      <c r="K19" s="5">
        <v>700</v>
      </c>
      <c r="L19" s="5">
        <v>280</v>
      </c>
    </row>
    <row r="20" spans="1:12" ht="18" customHeight="1" x14ac:dyDescent="0.35">
      <c r="A20" s="6" t="s">
        <v>100</v>
      </c>
      <c r="B20" s="7" t="s">
        <v>101</v>
      </c>
      <c r="C20" s="6">
        <v>6</v>
      </c>
      <c r="D20" s="6" t="s">
        <v>34</v>
      </c>
      <c r="E20" s="7" t="s">
        <v>16</v>
      </c>
      <c r="F20" s="8">
        <v>45393</v>
      </c>
      <c r="G20" s="7" t="s">
        <v>36</v>
      </c>
      <c r="H20" s="7" t="s">
        <v>81</v>
      </c>
      <c r="I20" s="7" t="s">
        <v>76</v>
      </c>
      <c r="J20" s="7" t="s">
        <v>82</v>
      </c>
      <c r="K20" s="9">
        <v>650</v>
      </c>
      <c r="L20" s="9">
        <v>540</v>
      </c>
    </row>
    <row r="21" spans="1:12" ht="18" customHeight="1" x14ac:dyDescent="0.35">
      <c r="A21" s="2" t="s">
        <v>102</v>
      </c>
      <c r="B21" s="3" t="s">
        <v>103</v>
      </c>
      <c r="C21" s="2">
        <v>51</v>
      </c>
      <c r="D21" s="2" t="s">
        <v>15</v>
      </c>
      <c r="E21" s="3" t="s">
        <v>35</v>
      </c>
      <c r="F21" s="4">
        <v>45132</v>
      </c>
      <c r="G21" s="3" t="s">
        <v>36</v>
      </c>
      <c r="H21" s="3" t="s">
        <v>37</v>
      </c>
      <c r="I21" s="3" t="s">
        <v>104</v>
      </c>
      <c r="J21" s="3" t="s">
        <v>39</v>
      </c>
      <c r="K21" s="5">
        <v>950</v>
      </c>
      <c r="L21" s="5">
        <v>380</v>
      </c>
    </row>
    <row r="22" spans="1:12" ht="18" customHeight="1" x14ac:dyDescent="0.35">
      <c r="A22" s="6" t="s">
        <v>105</v>
      </c>
      <c r="B22" s="7" t="s">
        <v>106</v>
      </c>
      <c r="C22" s="6">
        <v>35</v>
      </c>
      <c r="D22" s="6" t="s">
        <v>34</v>
      </c>
      <c r="E22" s="7" t="s">
        <v>107</v>
      </c>
      <c r="F22" s="8">
        <v>45391</v>
      </c>
      <c r="G22" s="7" t="s">
        <v>17</v>
      </c>
      <c r="H22" s="7" t="s">
        <v>18</v>
      </c>
      <c r="I22" s="7" t="s">
        <v>19</v>
      </c>
      <c r="J22" s="7" t="s">
        <v>24</v>
      </c>
      <c r="K22" s="9">
        <v>1000</v>
      </c>
      <c r="L22" s="9">
        <v>550</v>
      </c>
    </row>
    <row r="23" spans="1:12" ht="18" customHeight="1" x14ac:dyDescent="0.35">
      <c r="A23" s="2" t="s">
        <v>108</v>
      </c>
      <c r="B23" s="3" t="s">
        <v>109</v>
      </c>
      <c r="C23" s="2">
        <v>70</v>
      </c>
      <c r="D23" s="2" t="s">
        <v>34</v>
      </c>
      <c r="E23" s="3" t="s">
        <v>80</v>
      </c>
      <c r="F23" s="4">
        <v>45049</v>
      </c>
      <c r="G23" s="3" t="s">
        <v>28</v>
      </c>
      <c r="H23" s="3" t="s">
        <v>29</v>
      </c>
      <c r="I23" s="3" t="s">
        <v>110</v>
      </c>
      <c r="J23" s="3" t="s">
        <v>111</v>
      </c>
      <c r="K23" s="5">
        <v>650</v>
      </c>
      <c r="L23" s="5">
        <v>280</v>
      </c>
    </row>
    <row r="24" spans="1:12" ht="18" customHeight="1" x14ac:dyDescent="0.35">
      <c r="A24" s="6" t="s">
        <v>112</v>
      </c>
      <c r="B24" s="7" t="s">
        <v>113</v>
      </c>
      <c r="C24" s="6">
        <v>60</v>
      </c>
      <c r="D24" s="6" t="s">
        <v>15</v>
      </c>
      <c r="E24" s="7" t="s">
        <v>69</v>
      </c>
      <c r="F24" s="8">
        <v>45460</v>
      </c>
      <c r="G24" s="7" t="s">
        <v>48</v>
      </c>
      <c r="H24" s="7" t="s">
        <v>93</v>
      </c>
      <c r="I24" s="7" t="s">
        <v>55</v>
      </c>
      <c r="J24" s="7" t="s">
        <v>114</v>
      </c>
      <c r="K24" s="9">
        <v>650</v>
      </c>
      <c r="L24" s="9">
        <v>350</v>
      </c>
    </row>
    <row r="25" spans="1:12" ht="18" customHeight="1" x14ac:dyDescent="0.35">
      <c r="A25" s="2" t="s">
        <v>115</v>
      </c>
      <c r="B25" s="3" t="s">
        <v>116</v>
      </c>
      <c r="C25" s="2">
        <v>39</v>
      </c>
      <c r="D25" s="2" t="s">
        <v>15</v>
      </c>
      <c r="E25" s="3" t="s">
        <v>27</v>
      </c>
      <c r="F25" s="4">
        <v>45463</v>
      </c>
      <c r="G25" s="3" t="s">
        <v>42</v>
      </c>
      <c r="H25" s="3" t="s">
        <v>70</v>
      </c>
      <c r="I25" s="3" t="s">
        <v>110</v>
      </c>
      <c r="J25" s="3" t="s">
        <v>90</v>
      </c>
      <c r="K25" s="5">
        <v>300</v>
      </c>
      <c r="L25" s="5">
        <v>170</v>
      </c>
    </row>
    <row r="26" spans="1:12" ht="18" customHeight="1" x14ac:dyDescent="0.35">
      <c r="A26" s="6" t="s">
        <v>117</v>
      </c>
      <c r="B26" s="7" t="s">
        <v>118</v>
      </c>
      <c r="C26" s="6">
        <v>79</v>
      </c>
      <c r="D26" s="6" t="s">
        <v>34</v>
      </c>
      <c r="E26" s="7" t="s">
        <v>16</v>
      </c>
      <c r="F26" s="8">
        <v>45450</v>
      </c>
      <c r="G26" s="7" t="s">
        <v>42</v>
      </c>
      <c r="H26" s="7" t="s">
        <v>43</v>
      </c>
      <c r="I26" s="7" t="s">
        <v>110</v>
      </c>
      <c r="J26" s="7" t="s">
        <v>119</v>
      </c>
      <c r="K26" s="9">
        <v>400</v>
      </c>
      <c r="L26" s="9">
        <v>250</v>
      </c>
    </row>
    <row r="27" spans="1:12" ht="18" customHeight="1" x14ac:dyDescent="0.35">
      <c r="A27" s="2" t="s">
        <v>120</v>
      </c>
      <c r="B27" s="3" t="s">
        <v>121</v>
      </c>
      <c r="C27" s="2">
        <v>40</v>
      </c>
      <c r="D27" s="2" t="s">
        <v>34</v>
      </c>
      <c r="E27" s="3" t="s">
        <v>27</v>
      </c>
      <c r="F27" s="4">
        <v>44967</v>
      </c>
      <c r="G27" s="3" t="s">
        <v>28</v>
      </c>
      <c r="H27" s="3" t="s">
        <v>122</v>
      </c>
      <c r="I27" s="3" t="s">
        <v>123</v>
      </c>
      <c r="J27" s="3" t="s">
        <v>61</v>
      </c>
      <c r="K27" s="5">
        <v>450</v>
      </c>
      <c r="L27" s="5">
        <v>150</v>
      </c>
    </row>
    <row r="28" spans="1:12" ht="18" customHeight="1" x14ac:dyDescent="0.35">
      <c r="A28" s="6" t="s">
        <v>124</v>
      </c>
      <c r="B28" s="7" t="s">
        <v>125</v>
      </c>
      <c r="C28" s="6">
        <v>24</v>
      </c>
      <c r="D28" s="6" t="s">
        <v>15</v>
      </c>
      <c r="E28" s="7" t="s">
        <v>27</v>
      </c>
      <c r="F28" s="8">
        <v>45315</v>
      </c>
      <c r="G28" s="7" t="s">
        <v>36</v>
      </c>
      <c r="H28" s="7" t="s">
        <v>81</v>
      </c>
      <c r="I28" s="7" t="s">
        <v>104</v>
      </c>
      <c r="J28" s="7" t="s">
        <v>82</v>
      </c>
      <c r="K28" s="9">
        <v>800</v>
      </c>
      <c r="L28" s="9">
        <v>260</v>
      </c>
    </row>
    <row r="29" spans="1:12" ht="18" customHeight="1" x14ac:dyDescent="0.35">
      <c r="A29" s="2" t="s">
        <v>126</v>
      </c>
      <c r="B29" s="3" t="s">
        <v>127</v>
      </c>
      <c r="C29" s="2">
        <v>31</v>
      </c>
      <c r="D29" s="2" t="s">
        <v>15</v>
      </c>
      <c r="E29" s="3" t="s">
        <v>69</v>
      </c>
      <c r="F29" s="4">
        <v>45429</v>
      </c>
      <c r="G29" s="3" t="s">
        <v>42</v>
      </c>
      <c r="H29" s="3" t="s">
        <v>70</v>
      </c>
      <c r="I29" s="3" t="s">
        <v>128</v>
      </c>
      <c r="J29" s="3" t="s">
        <v>129</v>
      </c>
      <c r="K29" s="5">
        <v>350</v>
      </c>
      <c r="L29" s="5">
        <v>200</v>
      </c>
    </row>
    <row r="30" spans="1:12" ht="18" customHeight="1" x14ac:dyDescent="0.35">
      <c r="A30" s="6" t="s">
        <v>130</v>
      </c>
      <c r="B30" s="7" t="s">
        <v>131</v>
      </c>
      <c r="C30" s="6">
        <v>33</v>
      </c>
      <c r="D30" s="6" t="s">
        <v>15</v>
      </c>
      <c r="E30" s="7" t="s">
        <v>80</v>
      </c>
      <c r="F30" s="8">
        <v>44965</v>
      </c>
      <c r="G30" s="7" t="s">
        <v>36</v>
      </c>
      <c r="H30" s="7" t="s">
        <v>81</v>
      </c>
      <c r="I30" s="7" t="s">
        <v>132</v>
      </c>
      <c r="J30" s="7" t="s">
        <v>133</v>
      </c>
      <c r="K30" s="9">
        <v>750</v>
      </c>
      <c r="L30" s="9">
        <v>570</v>
      </c>
    </row>
    <row r="31" spans="1:12" ht="18" customHeight="1" x14ac:dyDescent="0.35">
      <c r="A31" s="2" t="s">
        <v>134</v>
      </c>
      <c r="B31" s="3" t="s">
        <v>135</v>
      </c>
      <c r="C31" s="2">
        <v>14</v>
      </c>
      <c r="D31" s="2" t="s">
        <v>34</v>
      </c>
      <c r="E31" s="3" t="s">
        <v>35</v>
      </c>
      <c r="F31" s="4">
        <v>45488</v>
      </c>
      <c r="G31" s="3" t="s">
        <v>42</v>
      </c>
      <c r="H31" s="3" t="s">
        <v>70</v>
      </c>
      <c r="I31" s="3" t="s">
        <v>136</v>
      </c>
      <c r="J31" s="3" t="s">
        <v>86</v>
      </c>
      <c r="K31" s="5">
        <v>300</v>
      </c>
      <c r="L31" s="5">
        <v>220</v>
      </c>
    </row>
    <row r="32" spans="1:12" ht="18" customHeight="1" x14ac:dyDescent="0.35">
      <c r="A32" s="6" t="s">
        <v>137</v>
      </c>
      <c r="B32" s="7" t="s">
        <v>138</v>
      </c>
      <c r="C32" s="6">
        <v>37</v>
      </c>
      <c r="D32" s="6" t="s">
        <v>15</v>
      </c>
      <c r="E32" s="7" t="s">
        <v>16</v>
      </c>
      <c r="F32" s="8">
        <v>45191</v>
      </c>
      <c r="G32" s="7" t="s">
        <v>36</v>
      </c>
      <c r="H32" s="7" t="s">
        <v>81</v>
      </c>
      <c r="I32" s="7" t="s">
        <v>132</v>
      </c>
      <c r="J32" s="7" t="s">
        <v>133</v>
      </c>
      <c r="K32" s="9">
        <v>750</v>
      </c>
      <c r="L32" s="9">
        <v>210</v>
      </c>
    </row>
    <row r="33" spans="1:12" ht="18" customHeight="1" x14ac:dyDescent="0.35">
      <c r="A33" s="2" t="s">
        <v>139</v>
      </c>
      <c r="B33" s="3" t="s">
        <v>140</v>
      </c>
      <c r="C33" s="2">
        <v>55</v>
      </c>
      <c r="D33" s="2" t="s">
        <v>15</v>
      </c>
      <c r="E33" s="3" t="s">
        <v>80</v>
      </c>
      <c r="F33" s="4">
        <v>45525</v>
      </c>
      <c r="G33" s="3" t="s">
        <v>48</v>
      </c>
      <c r="H33" s="3" t="s">
        <v>54</v>
      </c>
      <c r="I33" s="3" t="s">
        <v>55</v>
      </c>
      <c r="J33" s="3" t="s">
        <v>141</v>
      </c>
      <c r="K33" s="5">
        <v>700</v>
      </c>
      <c r="L33" s="5">
        <v>260</v>
      </c>
    </row>
    <row r="34" spans="1:12" ht="18" customHeight="1" x14ac:dyDescent="0.35">
      <c r="A34" s="6" t="s">
        <v>142</v>
      </c>
      <c r="B34" s="7" t="s">
        <v>143</v>
      </c>
      <c r="C34" s="6">
        <v>45</v>
      </c>
      <c r="D34" s="6" t="s">
        <v>34</v>
      </c>
      <c r="E34" s="7" t="s">
        <v>69</v>
      </c>
      <c r="F34" s="8">
        <v>45247</v>
      </c>
      <c r="G34" s="7" t="s">
        <v>36</v>
      </c>
      <c r="H34" s="7" t="s">
        <v>37</v>
      </c>
      <c r="I34" s="7" t="s">
        <v>144</v>
      </c>
      <c r="J34" s="7" t="s">
        <v>77</v>
      </c>
      <c r="K34" s="9">
        <v>900</v>
      </c>
      <c r="L34" s="9">
        <v>380</v>
      </c>
    </row>
    <row r="35" spans="1:12" ht="18" customHeight="1" x14ac:dyDescent="0.35">
      <c r="A35" s="2" t="s">
        <v>145</v>
      </c>
      <c r="B35" s="3" t="s">
        <v>146</v>
      </c>
      <c r="C35" s="2">
        <v>72</v>
      </c>
      <c r="D35" s="2" t="s">
        <v>15</v>
      </c>
      <c r="E35" s="3" t="s">
        <v>16</v>
      </c>
      <c r="F35" s="4">
        <v>45584</v>
      </c>
      <c r="G35" s="3" t="s">
        <v>17</v>
      </c>
      <c r="H35" s="3" t="s">
        <v>18</v>
      </c>
      <c r="I35" s="3" t="s">
        <v>147</v>
      </c>
      <c r="J35" s="3" t="s">
        <v>148</v>
      </c>
      <c r="K35" s="5">
        <v>750</v>
      </c>
      <c r="L35" s="5">
        <v>850</v>
      </c>
    </row>
    <row r="36" spans="1:12" ht="18" customHeight="1" x14ac:dyDescent="0.35">
      <c r="A36" s="6" t="s">
        <v>149</v>
      </c>
      <c r="B36" s="7" t="s">
        <v>150</v>
      </c>
      <c r="C36" s="6">
        <v>41</v>
      </c>
      <c r="D36" s="6" t="s">
        <v>15</v>
      </c>
      <c r="E36" s="7" t="s">
        <v>16</v>
      </c>
      <c r="F36" s="8">
        <v>45100</v>
      </c>
      <c r="G36" s="7" t="s">
        <v>48</v>
      </c>
      <c r="H36" s="7" t="s">
        <v>93</v>
      </c>
      <c r="I36" s="7" t="s">
        <v>151</v>
      </c>
      <c r="J36" s="7" t="s">
        <v>141</v>
      </c>
      <c r="K36" s="9">
        <v>650</v>
      </c>
      <c r="L36" s="9">
        <v>170</v>
      </c>
    </row>
    <row r="37" spans="1:12" ht="18" customHeight="1" x14ac:dyDescent="0.35">
      <c r="A37" s="2" t="s">
        <v>152</v>
      </c>
      <c r="B37" s="3" t="s">
        <v>153</v>
      </c>
      <c r="C37" s="2">
        <v>29</v>
      </c>
      <c r="D37" s="2" t="s">
        <v>34</v>
      </c>
      <c r="E37" s="3" t="s">
        <v>16</v>
      </c>
      <c r="F37" s="4">
        <v>45599</v>
      </c>
      <c r="G37" s="3" t="s">
        <v>17</v>
      </c>
      <c r="H37" s="3" t="s">
        <v>23</v>
      </c>
      <c r="I37" s="3" t="s">
        <v>154</v>
      </c>
      <c r="J37" s="3" t="s">
        <v>20</v>
      </c>
      <c r="K37" s="5">
        <v>900</v>
      </c>
      <c r="L37" s="5">
        <v>680</v>
      </c>
    </row>
    <row r="38" spans="1:12" ht="18" customHeight="1" x14ac:dyDescent="0.35">
      <c r="A38" s="6" t="s">
        <v>155</v>
      </c>
      <c r="B38" s="7" t="s">
        <v>156</v>
      </c>
      <c r="C38" s="6">
        <v>37</v>
      </c>
      <c r="D38" s="6" t="s">
        <v>34</v>
      </c>
      <c r="E38" s="7" t="s">
        <v>107</v>
      </c>
      <c r="F38" s="8">
        <v>45448</v>
      </c>
      <c r="G38" s="7" t="s">
        <v>42</v>
      </c>
      <c r="H38" s="7" t="s">
        <v>43</v>
      </c>
      <c r="I38" s="7" t="s">
        <v>110</v>
      </c>
      <c r="J38" s="7" t="s">
        <v>119</v>
      </c>
      <c r="K38" s="9">
        <v>400</v>
      </c>
      <c r="L38" s="9">
        <v>300</v>
      </c>
    </row>
    <row r="39" spans="1:12" ht="18" customHeight="1" x14ac:dyDescent="0.35">
      <c r="A39" s="2" t="s">
        <v>157</v>
      </c>
      <c r="B39" s="3" t="s">
        <v>158</v>
      </c>
      <c r="C39" s="2">
        <v>19</v>
      </c>
      <c r="D39" s="2" t="s">
        <v>15</v>
      </c>
      <c r="E39" s="3" t="s">
        <v>107</v>
      </c>
      <c r="F39" s="4">
        <v>45060</v>
      </c>
      <c r="G39" s="3" t="s">
        <v>48</v>
      </c>
      <c r="H39" s="3" t="s">
        <v>49</v>
      </c>
      <c r="I39" s="3" t="s">
        <v>50</v>
      </c>
      <c r="J39" s="3" t="s">
        <v>56</v>
      </c>
      <c r="K39" s="5">
        <v>850</v>
      </c>
      <c r="L39" s="5">
        <v>490</v>
      </c>
    </row>
    <row r="40" spans="1:12" ht="18" customHeight="1" x14ac:dyDescent="0.35">
      <c r="A40" s="6" t="s">
        <v>159</v>
      </c>
      <c r="B40" s="7" t="s">
        <v>160</v>
      </c>
      <c r="C40" s="6">
        <v>74</v>
      </c>
      <c r="D40" s="6" t="s">
        <v>15</v>
      </c>
      <c r="E40" s="7" t="s">
        <v>16</v>
      </c>
      <c r="F40" s="8">
        <v>45490</v>
      </c>
      <c r="G40" s="7" t="s">
        <v>36</v>
      </c>
      <c r="H40" s="7" t="s">
        <v>75</v>
      </c>
      <c r="I40" s="7" t="s">
        <v>104</v>
      </c>
      <c r="J40" s="7" t="s">
        <v>82</v>
      </c>
      <c r="K40" s="9">
        <v>1000</v>
      </c>
      <c r="L40" s="9">
        <v>400</v>
      </c>
    </row>
    <row r="41" spans="1:12" ht="18" customHeight="1" x14ac:dyDescent="0.35">
      <c r="A41" s="2" t="s">
        <v>161</v>
      </c>
      <c r="B41" s="3" t="s">
        <v>162</v>
      </c>
      <c r="C41" s="2">
        <v>7</v>
      </c>
      <c r="D41" s="2" t="s">
        <v>15</v>
      </c>
      <c r="E41" s="3" t="s">
        <v>16</v>
      </c>
      <c r="F41" s="4">
        <v>45233</v>
      </c>
      <c r="G41" s="3" t="s">
        <v>17</v>
      </c>
      <c r="H41" s="3" t="s">
        <v>23</v>
      </c>
      <c r="I41" s="3" t="s">
        <v>65</v>
      </c>
      <c r="J41" s="3" t="s">
        <v>20</v>
      </c>
      <c r="K41" s="5">
        <v>700</v>
      </c>
      <c r="L41" s="5">
        <v>430</v>
      </c>
    </row>
    <row r="42" spans="1:12" ht="18" customHeight="1" x14ac:dyDescent="0.35">
      <c r="A42" s="6" t="s">
        <v>163</v>
      </c>
      <c r="B42" s="7" t="s">
        <v>164</v>
      </c>
      <c r="C42" s="6">
        <v>49</v>
      </c>
      <c r="D42" s="6" t="s">
        <v>34</v>
      </c>
      <c r="E42" s="7" t="s">
        <v>107</v>
      </c>
      <c r="F42" s="8">
        <v>45468</v>
      </c>
      <c r="G42" s="7" t="s">
        <v>28</v>
      </c>
      <c r="H42" s="7" t="s">
        <v>29</v>
      </c>
      <c r="I42" s="7" t="s">
        <v>110</v>
      </c>
      <c r="J42" s="7" t="s">
        <v>61</v>
      </c>
      <c r="K42" s="9">
        <v>500</v>
      </c>
      <c r="L42" s="9">
        <v>260</v>
      </c>
    </row>
    <row r="43" spans="1:12" ht="18" customHeight="1" x14ac:dyDescent="0.35">
      <c r="A43" s="2" t="s">
        <v>165</v>
      </c>
      <c r="B43" s="3" t="s">
        <v>166</v>
      </c>
      <c r="C43" s="2">
        <v>29</v>
      </c>
      <c r="D43" s="2" t="s">
        <v>15</v>
      </c>
      <c r="E43" s="3" t="s">
        <v>80</v>
      </c>
      <c r="F43" s="4">
        <v>45627</v>
      </c>
      <c r="G43" s="3" t="s">
        <v>42</v>
      </c>
      <c r="H43" s="3" t="s">
        <v>70</v>
      </c>
      <c r="I43" s="3" t="s">
        <v>44</v>
      </c>
      <c r="J43" s="3" t="s">
        <v>72</v>
      </c>
      <c r="K43" s="5">
        <v>350</v>
      </c>
      <c r="L43" s="5">
        <v>320</v>
      </c>
    </row>
    <row r="44" spans="1:12" ht="18" customHeight="1" x14ac:dyDescent="0.35">
      <c r="A44" s="6" t="s">
        <v>167</v>
      </c>
      <c r="B44" s="7" t="s">
        <v>168</v>
      </c>
      <c r="C44" s="6">
        <v>62</v>
      </c>
      <c r="D44" s="6" t="s">
        <v>15</v>
      </c>
      <c r="E44" s="7" t="s">
        <v>69</v>
      </c>
      <c r="F44" s="8">
        <v>44951</v>
      </c>
      <c r="G44" s="7" t="s">
        <v>28</v>
      </c>
      <c r="H44" s="7" t="s">
        <v>29</v>
      </c>
      <c r="I44" s="7" t="s">
        <v>60</v>
      </c>
      <c r="J44" s="7" t="s">
        <v>61</v>
      </c>
      <c r="K44" s="9">
        <v>400</v>
      </c>
      <c r="L44" s="9">
        <v>260</v>
      </c>
    </row>
    <row r="45" spans="1:12" ht="18" customHeight="1" x14ac:dyDescent="0.35">
      <c r="A45" s="2" t="s">
        <v>169</v>
      </c>
      <c r="B45" s="3" t="s">
        <v>774</v>
      </c>
      <c r="C45" s="2">
        <v>67</v>
      </c>
      <c r="D45" s="2" t="s">
        <v>34</v>
      </c>
      <c r="E45" s="3" t="s">
        <v>35</v>
      </c>
      <c r="F45" s="4">
        <v>45100</v>
      </c>
      <c r="G45" s="3" t="s">
        <v>48</v>
      </c>
      <c r="H45" s="3" t="s">
        <v>93</v>
      </c>
      <c r="I45" s="3" t="s">
        <v>151</v>
      </c>
      <c r="J45" s="3" t="s">
        <v>56</v>
      </c>
      <c r="K45" s="5">
        <v>800</v>
      </c>
      <c r="L45" s="5">
        <v>340</v>
      </c>
    </row>
    <row r="46" spans="1:12" ht="18" customHeight="1" x14ac:dyDescent="0.35">
      <c r="A46" s="6" t="s">
        <v>170</v>
      </c>
      <c r="B46" s="7" t="s">
        <v>171</v>
      </c>
      <c r="C46" s="6">
        <v>57</v>
      </c>
      <c r="D46" s="6" t="s">
        <v>15</v>
      </c>
      <c r="E46" s="7" t="s">
        <v>16</v>
      </c>
      <c r="F46" s="8">
        <v>45428</v>
      </c>
      <c r="G46" s="7" t="s">
        <v>28</v>
      </c>
      <c r="H46" s="7" t="s">
        <v>122</v>
      </c>
      <c r="I46" s="7" t="s">
        <v>123</v>
      </c>
      <c r="J46" s="7" t="s">
        <v>111</v>
      </c>
      <c r="K46" s="9">
        <v>550</v>
      </c>
      <c r="L46" s="9">
        <v>200</v>
      </c>
    </row>
    <row r="47" spans="1:12" ht="18" customHeight="1" x14ac:dyDescent="0.35">
      <c r="A47" s="2" t="s">
        <v>172</v>
      </c>
      <c r="B47" s="3" t="s">
        <v>173</v>
      </c>
      <c r="C47" s="2">
        <v>36</v>
      </c>
      <c r="D47" s="2" t="s">
        <v>34</v>
      </c>
      <c r="E47" s="3" t="s">
        <v>16</v>
      </c>
      <c r="F47" s="4">
        <v>45253</v>
      </c>
      <c r="G47" s="3" t="s">
        <v>28</v>
      </c>
      <c r="H47" s="3" t="s">
        <v>29</v>
      </c>
      <c r="I47" s="3" t="s">
        <v>174</v>
      </c>
      <c r="J47" s="3" t="s">
        <v>31</v>
      </c>
      <c r="K47" s="5">
        <v>550</v>
      </c>
      <c r="L47" s="5">
        <v>140</v>
      </c>
    </row>
    <row r="48" spans="1:12" ht="18" customHeight="1" x14ac:dyDescent="0.35">
      <c r="A48" s="6" t="s">
        <v>175</v>
      </c>
      <c r="B48" s="7" t="s">
        <v>176</v>
      </c>
      <c r="C48" s="6">
        <v>24</v>
      </c>
      <c r="D48" s="6" t="s">
        <v>15</v>
      </c>
      <c r="E48" s="7" t="s">
        <v>35</v>
      </c>
      <c r="F48" s="8">
        <v>44986</v>
      </c>
      <c r="G48" s="7" t="s">
        <v>42</v>
      </c>
      <c r="H48" s="7" t="s">
        <v>89</v>
      </c>
      <c r="I48" s="7" t="s">
        <v>128</v>
      </c>
      <c r="J48" s="7" t="s">
        <v>129</v>
      </c>
      <c r="K48" s="9">
        <v>500</v>
      </c>
      <c r="L48" s="9">
        <v>350</v>
      </c>
    </row>
    <row r="49" spans="1:12" ht="18" customHeight="1" x14ac:dyDescent="0.35">
      <c r="A49" s="2" t="s">
        <v>177</v>
      </c>
      <c r="B49" s="3" t="s">
        <v>178</v>
      </c>
      <c r="C49" s="2">
        <v>26</v>
      </c>
      <c r="D49" s="2" t="s">
        <v>15</v>
      </c>
      <c r="E49" s="3" t="s">
        <v>80</v>
      </c>
      <c r="F49" s="4">
        <v>45646</v>
      </c>
      <c r="G49" s="3" t="s">
        <v>42</v>
      </c>
      <c r="H49" s="3" t="s">
        <v>89</v>
      </c>
      <c r="I49" s="3" t="s">
        <v>44</v>
      </c>
      <c r="J49" s="3" t="s">
        <v>45</v>
      </c>
      <c r="K49" s="5">
        <v>450</v>
      </c>
      <c r="L49" s="5">
        <v>180</v>
      </c>
    </row>
    <row r="50" spans="1:12" ht="18" customHeight="1" x14ac:dyDescent="0.35">
      <c r="A50" s="6" t="s">
        <v>179</v>
      </c>
      <c r="B50" s="7" t="s">
        <v>180</v>
      </c>
      <c r="C50" s="6">
        <v>68</v>
      </c>
      <c r="D50" s="6" t="s">
        <v>34</v>
      </c>
      <c r="E50" s="7" t="s">
        <v>69</v>
      </c>
      <c r="F50" s="8">
        <v>45484</v>
      </c>
      <c r="G50" s="7" t="s">
        <v>28</v>
      </c>
      <c r="H50" s="7" t="s">
        <v>59</v>
      </c>
      <c r="I50" s="7" t="s">
        <v>60</v>
      </c>
      <c r="J50" s="7" t="s">
        <v>111</v>
      </c>
      <c r="K50" s="9">
        <v>500</v>
      </c>
      <c r="L50" s="9">
        <v>260</v>
      </c>
    </row>
    <row r="51" spans="1:12" ht="18" customHeight="1" x14ac:dyDescent="0.35">
      <c r="A51" s="2" t="s">
        <v>181</v>
      </c>
      <c r="B51" s="3" t="s">
        <v>182</v>
      </c>
      <c r="C51" s="2">
        <v>35</v>
      </c>
      <c r="D51" s="2" t="s">
        <v>15</v>
      </c>
      <c r="E51" s="3" t="s">
        <v>16</v>
      </c>
      <c r="F51" s="4">
        <v>45039</v>
      </c>
      <c r="G51" s="3" t="s">
        <v>17</v>
      </c>
      <c r="H51" s="3" t="s">
        <v>18</v>
      </c>
      <c r="I51" s="3" t="s">
        <v>19</v>
      </c>
      <c r="J51" s="3" t="s">
        <v>148</v>
      </c>
      <c r="K51" s="5">
        <v>800</v>
      </c>
      <c r="L51" s="5">
        <v>360</v>
      </c>
    </row>
    <row r="52" spans="1:12" ht="18" customHeight="1" x14ac:dyDescent="0.35">
      <c r="A52" s="6" t="s">
        <v>183</v>
      </c>
      <c r="B52" s="7" t="s">
        <v>184</v>
      </c>
      <c r="C52" s="6">
        <v>64</v>
      </c>
      <c r="D52" s="6" t="s">
        <v>15</v>
      </c>
      <c r="E52" s="7" t="s">
        <v>16</v>
      </c>
      <c r="F52" s="8">
        <v>45427</v>
      </c>
      <c r="G52" s="7" t="s">
        <v>17</v>
      </c>
      <c r="H52" s="7" t="s">
        <v>18</v>
      </c>
      <c r="I52" s="7" t="s">
        <v>65</v>
      </c>
      <c r="J52" s="7" t="s">
        <v>20</v>
      </c>
      <c r="K52" s="9">
        <v>1050</v>
      </c>
      <c r="L52" s="9">
        <v>740</v>
      </c>
    </row>
    <row r="53" spans="1:12" ht="18" customHeight="1" x14ac:dyDescent="0.35">
      <c r="A53" s="2" t="s">
        <v>185</v>
      </c>
      <c r="B53" s="3" t="s">
        <v>186</v>
      </c>
      <c r="C53" s="2">
        <v>44</v>
      </c>
      <c r="D53" s="2" t="s">
        <v>15</v>
      </c>
      <c r="E53" s="3" t="s">
        <v>27</v>
      </c>
      <c r="F53" s="4">
        <v>45371</v>
      </c>
      <c r="G53" s="3" t="s">
        <v>48</v>
      </c>
      <c r="H53" s="3" t="s">
        <v>54</v>
      </c>
      <c r="I53" s="3" t="s">
        <v>55</v>
      </c>
      <c r="J53" s="3" t="s">
        <v>56</v>
      </c>
      <c r="K53" s="5">
        <v>850</v>
      </c>
      <c r="L53" s="5">
        <v>220</v>
      </c>
    </row>
    <row r="54" spans="1:12" ht="18" customHeight="1" x14ac:dyDescent="0.35">
      <c r="A54" s="6" t="s">
        <v>187</v>
      </c>
      <c r="B54" s="7" t="s">
        <v>188</v>
      </c>
      <c r="C54" s="6">
        <v>27</v>
      </c>
      <c r="D54" s="6" t="s">
        <v>15</v>
      </c>
      <c r="E54" s="7" t="s">
        <v>27</v>
      </c>
      <c r="F54" s="8">
        <v>45524</v>
      </c>
      <c r="G54" s="7" t="s">
        <v>36</v>
      </c>
      <c r="H54" s="7" t="s">
        <v>37</v>
      </c>
      <c r="I54" s="7" t="s">
        <v>144</v>
      </c>
      <c r="J54" s="7" t="s">
        <v>189</v>
      </c>
      <c r="K54" s="9">
        <v>850</v>
      </c>
      <c r="L54" s="9">
        <v>600</v>
      </c>
    </row>
    <row r="55" spans="1:12" ht="18" customHeight="1" x14ac:dyDescent="0.35">
      <c r="A55" s="2" t="s">
        <v>190</v>
      </c>
      <c r="B55" s="3" t="s">
        <v>191</v>
      </c>
      <c r="C55" s="2">
        <v>62</v>
      </c>
      <c r="D55" s="2" t="s">
        <v>34</v>
      </c>
      <c r="E55" s="3" t="s">
        <v>16</v>
      </c>
      <c r="F55" s="4">
        <v>45139</v>
      </c>
      <c r="G55" s="3" t="s">
        <v>17</v>
      </c>
      <c r="H55" s="3" t="s">
        <v>23</v>
      </c>
      <c r="I55" s="3" t="s">
        <v>192</v>
      </c>
      <c r="J55" s="3" t="s">
        <v>66</v>
      </c>
      <c r="K55" s="5">
        <v>750</v>
      </c>
      <c r="L55" s="5">
        <v>420</v>
      </c>
    </row>
    <row r="56" spans="1:12" ht="18" customHeight="1" x14ac:dyDescent="0.35">
      <c r="A56" s="6" t="s">
        <v>193</v>
      </c>
      <c r="B56" s="7" t="s">
        <v>194</v>
      </c>
      <c r="C56" s="6">
        <v>73</v>
      </c>
      <c r="D56" s="6" t="s">
        <v>34</v>
      </c>
      <c r="E56" s="7" t="s">
        <v>16</v>
      </c>
      <c r="F56" s="8">
        <v>45589</v>
      </c>
      <c r="G56" s="7" t="s">
        <v>42</v>
      </c>
      <c r="H56" s="7" t="s">
        <v>70</v>
      </c>
      <c r="I56" s="7" t="s">
        <v>71</v>
      </c>
      <c r="J56" s="7" t="s">
        <v>86</v>
      </c>
      <c r="K56" s="9">
        <v>350</v>
      </c>
      <c r="L56" s="9">
        <v>110</v>
      </c>
    </row>
    <row r="57" spans="1:12" ht="18" customHeight="1" x14ac:dyDescent="0.35">
      <c r="A57" s="2" t="s">
        <v>195</v>
      </c>
      <c r="B57" s="3" t="s">
        <v>196</v>
      </c>
      <c r="C57" s="2">
        <v>29</v>
      </c>
      <c r="D57" s="2" t="s">
        <v>34</v>
      </c>
      <c r="E57" s="3" t="s">
        <v>16</v>
      </c>
      <c r="F57" s="4">
        <v>45206</v>
      </c>
      <c r="G57" s="3" t="s">
        <v>42</v>
      </c>
      <c r="H57" s="3" t="s">
        <v>70</v>
      </c>
      <c r="I57" s="3" t="s">
        <v>136</v>
      </c>
      <c r="J57" s="3" t="s">
        <v>197</v>
      </c>
      <c r="K57" s="5">
        <v>350</v>
      </c>
      <c r="L57" s="5">
        <v>340</v>
      </c>
    </row>
    <row r="58" spans="1:12" ht="18" customHeight="1" x14ac:dyDescent="0.35">
      <c r="A58" s="6" t="s">
        <v>198</v>
      </c>
      <c r="B58" s="7" t="s">
        <v>199</v>
      </c>
      <c r="C58" s="6">
        <v>47</v>
      </c>
      <c r="D58" s="6" t="s">
        <v>34</v>
      </c>
      <c r="E58" s="7" t="s">
        <v>35</v>
      </c>
      <c r="F58" s="8">
        <v>45245</v>
      </c>
      <c r="G58" s="7" t="s">
        <v>42</v>
      </c>
      <c r="H58" s="7" t="s">
        <v>43</v>
      </c>
      <c r="I58" s="7" t="s">
        <v>110</v>
      </c>
      <c r="J58" s="7" t="s">
        <v>86</v>
      </c>
      <c r="K58" s="9">
        <v>350</v>
      </c>
      <c r="L58" s="9">
        <v>300</v>
      </c>
    </row>
    <row r="59" spans="1:12" ht="18" customHeight="1" x14ac:dyDescent="0.35">
      <c r="A59" s="2" t="s">
        <v>200</v>
      </c>
      <c r="B59" s="3" t="s">
        <v>201</v>
      </c>
      <c r="C59" s="2">
        <v>47</v>
      </c>
      <c r="D59" s="2" t="s">
        <v>34</v>
      </c>
      <c r="E59" s="3" t="s">
        <v>27</v>
      </c>
      <c r="F59" s="4">
        <v>45515</v>
      </c>
      <c r="G59" s="3" t="s">
        <v>36</v>
      </c>
      <c r="H59" s="3" t="s">
        <v>37</v>
      </c>
      <c r="I59" s="3" t="s">
        <v>144</v>
      </c>
      <c r="J59" s="3" t="s">
        <v>82</v>
      </c>
      <c r="K59" s="5">
        <v>600</v>
      </c>
      <c r="L59" s="5">
        <v>440</v>
      </c>
    </row>
    <row r="60" spans="1:12" ht="18" customHeight="1" x14ac:dyDescent="0.35">
      <c r="A60" s="6" t="s">
        <v>202</v>
      </c>
      <c r="B60" s="7" t="s">
        <v>203</v>
      </c>
      <c r="C60" s="6">
        <v>15</v>
      </c>
      <c r="D60" s="6" t="s">
        <v>15</v>
      </c>
      <c r="E60" s="7" t="s">
        <v>16</v>
      </c>
      <c r="F60" s="8">
        <v>44940</v>
      </c>
      <c r="G60" s="7" t="s">
        <v>28</v>
      </c>
      <c r="H60" s="7" t="s">
        <v>122</v>
      </c>
      <c r="I60" s="7" t="s">
        <v>110</v>
      </c>
      <c r="J60" s="7" t="s">
        <v>31</v>
      </c>
      <c r="K60" s="9">
        <v>600</v>
      </c>
      <c r="L60" s="9">
        <v>170</v>
      </c>
    </row>
    <row r="61" spans="1:12" ht="18" customHeight="1" x14ac:dyDescent="0.35">
      <c r="A61" s="2" t="s">
        <v>204</v>
      </c>
      <c r="B61" s="3" t="s">
        <v>205</v>
      </c>
      <c r="C61" s="2">
        <v>38</v>
      </c>
      <c r="D61" s="2" t="s">
        <v>15</v>
      </c>
      <c r="E61" s="3" t="s">
        <v>107</v>
      </c>
      <c r="F61" s="4">
        <v>45059</v>
      </c>
      <c r="G61" s="3" t="s">
        <v>42</v>
      </c>
      <c r="H61" s="3" t="s">
        <v>70</v>
      </c>
      <c r="I61" s="3" t="s">
        <v>85</v>
      </c>
      <c r="J61" s="3" t="s">
        <v>129</v>
      </c>
      <c r="K61" s="5">
        <v>450</v>
      </c>
      <c r="L61" s="5">
        <v>140</v>
      </c>
    </row>
    <row r="62" spans="1:12" ht="18" customHeight="1" x14ac:dyDescent="0.35">
      <c r="A62" s="6" t="s">
        <v>206</v>
      </c>
      <c r="B62" s="7" t="s">
        <v>207</v>
      </c>
      <c r="C62" s="6">
        <v>14</v>
      </c>
      <c r="D62" s="6" t="s">
        <v>34</v>
      </c>
      <c r="E62" s="7" t="s">
        <v>16</v>
      </c>
      <c r="F62" s="8">
        <v>45135</v>
      </c>
      <c r="G62" s="7" t="s">
        <v>17</v>
      </c>
      <c r="H62" s="7" t="s">
        <v>18</v>
      </c>
      <c r="I62" s="7" t="s">
        <v>65</v>
      </c>
      <c r="J62" s="7" t="s">
        <v>148</v>
      </c>
      <c r="K62" s="9">
        <v>1150</v>
      </c>
      <c r="L62" s="9">
        <v>440</v>
      </c>
    </row>
    <row r="63" spans="1:12" ht="18" customHeight="1" x14ac:dyDescent="0.35">
      <c r="A63" s="2" t="s">
        <v>208</v>
      </c>
      <c r="B63" s="3" t="s">
        <v>209</v>
      </c>
      <c r="C63" s="2">
        <v>54</v>
      </c>
      <c r="D63" s="2" t="s">
        <v>34</v>
      </c>
      <c r="E63" s="3" t="s">
        <v>69</v>
      </c>
      <c r="F63" s="4">
        <v>45319</v>
      </c>
      <c r="G63" s="3" t="s">
        <v>17</v>
      </c>
      <c r="H63" s="3" t="s">
        <v>18</v>
      </c>
      <c r="I63" s="3" t="s">
        <v>147</v>
      </c>
      <c r="J63" s="3" t="s">
        <v>24</v>
      </c>
      <c r="K63" s="5">
        <v>950</v>
      </c>
      <c r="L63" s="5">
        <v>480</v>
      </c>
    </row>
    <row r="64" spans="1:12" ht="18" customHeight="1" x14ac:dyDescent="0.35">
      <c r="A64" s="6" t="s">
        <v>210</v>
      </c>
      <c r="B64" s="7" t="s">
        <v>211</v>
      </c>
      <c r="C64" s="6">
        <v>6</v>
      </c>
      <c r="D64" s="6" t="s">
        <v>34</v>
      </c>
      <c r="E64" s="7" t="s">
        <v>16</v>
      </c>
      <c r="F64" s="8">
        <v>45058</v>
      </c>
      <c r="G64" s="7" t="s">
        <v>17</v>
      </c>
      <c r="H64" s="7" t="s">
        <v>18</v>
      </c>
      <c r="I64" s="7" t="s">
        <v>65</v>
      </c>
      <c r="J64" s="7" t="s">
        <v>24</v>
      </c>
      <c r="K64" s="9">
        <v>1050</v>
      </c>
      <c r="L64" s="9">
        <v>660</v>
      </c>
    </row>
    <row r="65" spans="1:12" ht="18" customHeight="1" x14ac:dyDescent="0.35">
      <c r="A65" s="2" t="s">
        <v>212</v>
      </c>
      <c r="B65" s="3" t="s">
        <v>213</v>
      </c>
      <c r="C65" s="2">
        <v>34</v>
      </c>
      <c r="D65" s="2" t="s">
        <v>34</v>
      </c>
      <c r="E65" s="3" t="s">
        <v>16</v>
      </c>
      <c r="F65" s="4">
        <v>45477</v>
      </c>
      <c r="G65" s="3" t="s">
        <v>28</v>
      </c>
      <c r="H65" s="3" t="s">
        <v>29</v>
      </c>
      <c r="I65" s="3" t="s">
        <v>174</v>
      </c>
      <c r="J65" s="3" t="s">
        <v>31</v>
      </c>
      <c r="K65" s="5">
        <v>400</v>
      </c>
      <c r="L65" s="5">
        <v>240</v>
      </c>
    </row>
    <row r="66" spans="1:12" ht="18" customHeight="1" x14ac:dyDescent="0.35">
      <c r="A66" s="6" t="s">
        <v>214</v>
      </c>
      <c r="B66" s="7" t="s">
        <v>215</v>
      </c>
      <c r="C66" s="6">
        <v>66</v>
      </c>
      <c r="D66" s="6" t="s">
        <v>15</v>
      </c>
      <c r="E66" s="7" t="s">
        <v>35</v>
      </c>
      <c r="F66" s="8">
        <v>45592</v>
      </c>
      <c r="G66" s="7" t="s">
        <v>48</v>
      </c>
      <c r="H66" s="7" t="s">
        <v>49</v>
      </c>
      <c r="I66" s="7" t="s">
        <v>50</v>
      </c>
      <c r="J66" s="7" t="s">
        <v>51</v>
      </c>
      <c r="K66" s="9">
        <v>750</v>
      </c>
      <c r="L66" s="9">
        <v>380</v>
      </c>
    </row>
    <row r="67" spans="1:12" ht="18" customHeight="1" x14ac:dyDescent="0.35">
      <c r="A67" s="2" t="s">
        <v>216</v>
      </c>
      <c r="B67" s="3" t="s">
        <v>217</v>
      </c>
      <c r="C67" s="2">
        <v>61</v>
      </c>
      <c r="D67" s="2" t="s">
        <v>34</v>
      </c>
      <c r="E67" s="3" t="s">
        <v>69</v>
      </c>
      <c r="F67" s="4">
        <v>45063</v>
      </c>
      <c r="G67" s="3" t="s">
        <v>42</v>
      </c>
      <c r="H67" s="3" t="s">
        <v>70</v>
      </c>
      <c r="I67" s="3" t="s">
        <v>71</v>
      </c>
      <c r="J67" s="3" t="s">
        <v>129</v>
      </c>
      <c r="K67" s="5">
        <v>400</v>
      </c>
      <c r="L67" s="5">
        <v>200</v>
      </c>
    </row>
    <row r="68" spans="1:12" ht="18" customHeight="1" x14ac:dyDescent="0.35">
      <c r="A68" s="6" t="s">
        <v>218</v>
      </c>
      <c r="B68" s="7" t="s">
        <v>219</v>
      </c>
      <c r="C68" s="6">
        <v>8</v>
      </c>
      <c r="D68" s="6" t="s">
        <v>34</v>
      </c>
      <c r="E68" s="7" t="s">
        <v>16</v>
      </c>
      <c r="F68" s="8">
        <v>45025</v>
      </c>
      <c r="G68" s="7" t="s">
        <v>48</v>
      </c>
      <c r="H68" s="7" t="s">
        <v>54</v>
      </c>
      <c r="I68" s="7" t="s">
        <v>151</v>
      </c>
      <c r="J68" s="7" t="s">
        <v>114</v>
      </c>
      <c r="K68" s="9">
        <v>550</v>
      </c>
      <c r="L68" s="9">
        <v>240</v>
      </c>
    </row>
    <row r="69" spans="1:12" ht="18" customHeight="1" x14ac:dyDescent="0.35">
      <c r="A69" s="2" t="s">
        <v>220</v>
      </c>
      <c r="B69" s="3" t="s">
        <v>221</v>
      </c>
      <c r="C69" s="2">
        <v>13</v>
      </c>
      <c r="D69" s="2" t="s">
        <v>34</v>
      </c>
      <c r="E69" s="3" t="s">
        <v>16</v>
      </c>
      <c r="F69" s="4">
        <v>45288</v>
      </c>
      <c r="G69" s="3" t="s">
        <v>48</v>
      </c>
      <c r="H69" s="3" t="s">
        <v>54</v>
      </c>
      <c r="I69" s="3" t="s">
        <v>94</v>
      </c>
      <c r="J69" s="3" t="s">
        <v>95</v>
      </c>
      <c r="K69" s="5">
        <v>750</v>
      </c>
      <c r="L69" s="5">
        <v>350</v>
      </c>
    </row>
    <row r="70" spans="1:12" ht="18" customHeight="1" x14ac:dyDescent="0.35">
      <c r="A70" s="6" t="s">
        <v>222</v>
      </c>
      <c r="B70" s="7" t="s">
        <v>223</v>
      </c>
      <c r="C70" s="6">
        <v>64</v>
      </c>
      <c r="D70" s="6" t="s">
        <v>34</v>
      </c>
      <c r="E70" s="7" t="s">
        <v>80</v>
      </c>
      <c r="F70" s="8">
        <v>45446</v>
      </c>
      <c r="G70" s="7" t="s">
        <v>17</v>
      </c>
      <c r="H70" s="7" t="s">
        <v>64</v>
      </c>
      <c r="I70" s="7" t="s">
        <v>19</v>
      </c>
      <c r="J70" s="7" t="s">
        <v>24</v>
      </c>
      <c r="K70" s="9">
        <v>1000</v>
      </c>
      <c r="L70" s="9">
        <v>340</v>
      </c>
    </row>
    <row r="71" spans="1:12" ht="18" customHeight="1" x14ac:dyDescent="0.35">
      <c r="A71" s="2" t="s">
        <v>224</v>
      </c>
      <c r="B71" s="3" t="s">
        <v>225</v>
      </c>
      <c r="C71" s="2">
        <v>9</v>
      </c>
      <c r="D71" s="2" t="s">
        <v>15</v>
      </c>
      <c r="E71" s="3" t="s">
        <v>27</v>
      </c>
      <c r="F71" s="4">
        <v>45402</v>
      </c>
      <c r="G71" s="3" t="s">
        <v>17</v>
      </c>
      <c r="H71" s="3" t="s">
        <v>23</v>
      </c>
      <c r="I71" s="3" t="s">
        <v>154</v>
      </c>
      <c r="J71" s="3" t="s">
        <v>226</v>
      </c>
      <c r="K71" s="5">
        <v>1100</v>
      </c>
      <c r="L71" s="5">
        <v>520</v>
      </c>
    </row>
    <row r="72" spans="1:12" ht="18" customHeight="1" x14ac:dyDescent="0.35">
      <c r="A72" s="6" t="s">
        <v>227</v>
      </c>
      <c r="B72" s="7" t="s">
        <v>228</v>
      </c>
      <c r="C72" s="6">
        <v>19</v>
      </c>
      <c r="D72" s="6" t="s">
        <v>34</v>
      </c>
      <c r="E72" s="7" t="s">
        <v>16</v>
      </c>
      <c r="F72" s="8">
        <v>45006</v>
      </c>
      <c r="G72" s="7" t="s">
        <v>17</v>
      </c>
      <c r="H72" s="7" t="s">
        <v>18</v>
      </c>
      <c r="I72" s="7" t="s">
        <v>154</v>
      </c>
      <c r="J72" s="7" t="s">
        <v>24</v>
      </c>
      <c r="K72" s="9">
        <v>750</v>
      </c>
      <c r="L72" s="9">
        <v>550</v>
      </c>
    </row>
    <row r="73" spans="1:12" ht="18" customHeight="1" x14ac:dyDescent="0.35">
      <c r="A73" s="2" t="s">
        <v>229</v>
      </c>
      <c r="B73" s="3" t="s">
        <v>230</v>
      </c>
      <c r="C73" s="2">
        <v>6</v>
      </c>
      <c r="D73" s="2" t="s">
        <v>15</v>
      </c>
      <c r="E73" s="3" t="s">
        <v>27</v>
      </c>
      <c r="F73" s="4">
        <v>45158</v>
      </c>
      <c r="G73" s="3" t="s">
        <v>42</v>
      </c>
      <c r="H73" s="3" t="s">
        <v>43</v>
      </c>
      <c r="I73" s="3" t="s">
        <v>65</v>
      </c>
      <c r="J73" s="3" t="s">
        <v>90</v>
      </c>
      <c r="K73" s="5">
        <v>400</v>
      </c>
      <c r="L73" s="5">
        <v>170</v>
      </c>
    </row>
    <row r="74" spans="1:12" ht="18" customHeight="1" x14ac:dyDescent="0.35">
      <c r="A74" s="6" t="s">
        <v>231</v>
      </c>
      <c r="B74" s="7" t="s">
        <v>232</v>
      </c>
      <c r="C74" s="6">
        <v>72</v>
      </c>
      <c r="D74" s="6" t="s">
        <v>15</v>
      </c>
      <c r="E74" s="7" t="s">
        <v>107</v>
      </c>
      <c r="F74" s="8">
        <v>45529</v>
      </c>
      <c r="G74" s="7" t="s">
        <v>42</v>
      </c>
      <c r="H74" s="7" t="s">
        <v>43</v>
      </c>
      <c r="I74" s="7" t="s">
        <v>44</v>
      </c>
      <c r="J74" s="7" t="s">
        <v>86</v>
      </c>
      <c r="K74" s="9">
        <v>350</v>
      </c>
      <c r="L74" s="9">
        <v>170</v>
      </c>
    </row>
    <row r="75" spans="1:12" ht="18" customHeight="1" x14ac:dyDescent="0.35">
      <c r="A75" s="2" t="s">
        <v>233</v>
      </c>
      <c r="B75" s="3" t="s">
        <v>234</v>
      </c>
      <c r="C75" s="2">
        <v>12</v>
      </c>
      <c r="D75" s="2" t="s">
        <v>34</v>
      </c>
      <c r="E75" s="3" t="s">
        <v>80</v>
      </c>
      <c r="F75" s="4">
        <v>45174</v>
      </c>
      <c r="G75" s="3" t="s">
        <v>36</v>
      </c>
      <c r="H75" s="3" t="s">
        <v>75</v>
      </c>
      <c r="I75" s="3" t="s">
        <v>104</v>
      </c>
      <c r="J75" s="3" t="s">
        <v>133</v>
      </c>
      <c r="K75" s="5">
        <v>750</v>
      </c>
      <c r="L75" s="5">
        <v>400</v>
      </c>
    </row>
    <row r="76" spans="1:12" ht="18" customHeight="1" x14ac:dyDescent="0.35">
      <c r="A76" s="6" t="s">
        <v>235</v>
      </c>
      <c r="B76" s="7" t="s">
        <v>236</v>
      </c>
      <c r="C76" s="6">
        <v>10</v>
      </c>
      <c r="D76" s="6" t="s">
        <v>34</v>
      </c>
      <c r="E76" s="7" t="s">
        <v>80</v>
      </c>
      <c r="F76" s="8">
        <v>45193</v>
      </c>
      <c r="G76" s="7" t="s">
        <v>42</v>
      </c>
      <c r="H76" s="7" t="s">
        <v>70</v>
      </c>
      <c r="I76" s="7" t="s">
        <v>136</v>
      </c>
      <c r="J76" s="7" t="s">
        <v>45</v>
      </c>
      <c r="K76" s="9">
        <v>500</v>
      </c>
      <c r="L76" s="9">
        <v>350</v>
      </c>
    </row>
    <row r="77" spans="1:12" ht="18" customHeight="1" x14ac:dyDescent="0.35">
      <c r="A77" s="2" t="s">
        <v>237</v>
      </c>
      <c r="B77" s="3" t="s">
        <v>238</v>
      </c>
      <c r="C77" s="2">
        <v>25</v>
      </c>
      <c r="D77" s="2" t="s">
        <v>15</v>
      </c>
      <c r="E77" s="3" t="s">
        <v>35</v>
      </c>
      <c r="F77" s="4">
        <v>45023</v>
      </c>
      <c r="G77" s="3" t="s">
        <v>36</v>
      </c>
      <c r="H77" s="3" t="s">
        <v>75</v>
      </c>
      <c r="I77" s="3" t="s">
        <v>38</v>
      </c>
      <c r="J77" s="3" t="s">
        <v>189</v>
      </c>
      <c r="K77" s="5">
        <v>850</v>
      </c>
      <c r="L77" s="5">
        <v>500</v>
      </c>
    </row>
    <row r="78" spans="1:12" ht="18" customHeight="1" x14ac:dyDescent="0.35">
      <c r="A78" s="6" t="s">
        <v>239</v>
      </c>
      <c r="B78" s="7" t="s">
        <v>240</v>
      </c>
      <c r="C78" s="6">
        <v>77</v>
      </c>
      <c r="D78" s="6" t="s">
        <v>34</v>
      </c>
      <c r="E78" s="7" t="s">
        <v>80</v>
      </c>
      <c r="F78" s="8">
        <v>45239</v>
      </c>
      <c r="G78" s="7" t="s">
        <v>17</v>
      </c>
      <c r="H78" s="7" t="s">
        <v>18</v>
      </c>
      <c r="I78" s="7" t="s">
        <v>65</v>
      </c>
      <c r="J78" s="7" t="s">
        <v>20</v>
      </c>
      <c r="K78" s="9">
        <v>850</v>
      </c>
      <c r="L78" s="9">
        <v>330</v>
      </c>
    </row>
    <row r="79" spans="1:12" ht="18" customHeight="1" x14ac:dyDescent="0.35">
      <c r="A79" s="2" t="s">
        <v>241</v>
      </c>
      <c r="B79" s="3" t="s">
        <v>242</v>
      </c>
      <c r="C79" s="2">
        <v>50</v>
      </c>
      <c r="D79" s="2" t="s">
        <v>34</v>
      </c>
      <c r="E79" s="3" t="s">
        <v>27</v>
      </c>
      <c r="F79" s="4">
        <v>45498</v>
      </c>
      <c r="G79" s="3" t="s">
        <v>42</v>
      </c>
      <c r="H79" s="3" t="s">
        <v>43</v>
      </c>
      <c r="I79" s="3" t="s">
        <v>65</v>
      </c>
      <c r="J79" s="3" t="s">
        <v>90</v>
      </c>
      <c r="K79" s="5">
        <v>300</v>
      </c>
      <c r="L79" s="5">
        <v>170</v>
      </c>
    </row>
    <row r="80" spans="1:12" ht="18" customHeight="1" x14ac:dyDescent="0.35">
      <c r="A80" s="6" t="s">
        <v>243</v>
      </c>
      <c r="B80" s="7" t="s">
        <v>244</v>
      </c>
      <c r="C80" s="6">
        <v>27</v>
      </c>
      <c r="D80" s="6" t="s">
        <v>15</v>
      </c>
      <c r="E80" s="7" t="s">
        <v>16</v>
      </c>
      <c r="F80" s="8">
        <v>44952</v>
      </c>
      <c r="G80" s="7" t="s">
        <v>36</v>
      </c>
      <c r="H80" s="7" t="s">
        <v>75</v>
      </c>
      <c r="I80" s="7" t="s">
        <v>76</v>
      </c>
      <c r="J80" s="7" t="s">
        <v>189</v>
      </c>
      <c r="K80" s="9">
        <v>800</v>
      </c>
      <c r="L80" s="9">
        <v>360</v>
      </c>
    </row>
    <row r="81" spans="1:12" ht="18" customHeight="1" x14ac:dyDescent="0.35">
      <c r="A81" s="2" t="s">
        <v>245</v>
      </c>
      <c r="B81" s="3" t="s">
        <v>246</v>
      </c>
      <c r="C81" s="2">
        <v>78</v>
      </c>
      <c r="D81" s="2" t="s">
        <v>15</v>
      </c>
      <c r="E81" s="3" t="s">
        <v>107</v>
      </c>
      <c r="F81" s="4">
        <v>45568</v>
      </c>
      <c r="G81" s="3" t="s">
        <v>17</v>
      </c>
      <c r="H81" s="3" t="s">
        <v>64</v>
      </c>
      <c r="I81" s="3" t="s">
        <v>154</v>
      </c>
      <c r="J81" s="3" t="s">
        <v>24</v>
      </c>
      <c r="K81" s="5">
        <v>800</v>
      </c>
      <c r="L81" s="5">
        <v>650</v>
      </c>
    </row>
    <row r="82" spans="1:12" ht="18" customHeight="1" x14ac:dyDescent="0.35">
      <c r="A82" s="6" t="s">
        <v>247</v>
      </c>
      <c r="B82" s="7" t="s">
        <v>248</v>
      </c>
      <c r="C82" s="6">
        <v>7</v>
      </c>
      <c r="D82" s="6" t="s">
        <v>34</v>
      </c>
      <c r="E82" s="7" t="s">
        <v>69</v>
      </c>
      <c r="F82" s="8">
        <v>45268</v>
      </c>
      <c r="G82" s="7" t="s">
        <v>28</v>
      </c>
      <c r="H82" s="7" t="s">
        <v>59</v>
      </c>
      <c r="I82" s="7" t="s">
        <v>30</v>
      </c>
      <c r="J82" s="7" t="s">
        <v>31</v>
      </c>
      <c r="K82" s="9">
        <v>700</v>
      </c>
      <c r="L82" s="9">
        <v>200</v>
      </c>
    </row>
    <row r="83" spans="1:12" ht="18" customHeight="1" x14ac:dyDescent="0.35">
      <c r="A83" s="2" t="s">
        <v>249</v>
      </c>
      <c r="B83" s="3" t="s">
        <v>250</v>
      </c>
      <c r="C83" s="2">
        <v>52</v>
      </c>
      <c r="D83" s="2" t="s">
        <v>15</v>
      </c>
      <c r="E83" s="3" t="s">
        <v>69</v>
      </c>
      <c r="F83" s="4">
        <v>45628</v>
      </c>
      <c r="G83" s="3" t="s">
        <v>42</v>
      </c>
      <c r="H83" s="3" t="s">
        <v>43</v>
      </c>
      <c r="I83" s="3" t="s">
        <v>110</v>
      </c>
      <c r="J83" s="3" t="s">
        <v>119</v>
      </c>
      <c r="K83" s="5">
        <v>400</v>
      </c>
      <c r="L83" s="5">
        <v>190</v>
      </c>
    </row>
    <row r="84" spans="1:12" ht="18" customHeight="1" x14ac:dyDescent="0.35">
      <c r="A84" s="6" t="s">
        <v>251</v>
      </c>
      <c r="B84" s="7" t="s">
        <v>252</v>
      </c>
      <c r="C84" s="6">
        <v>22</v>
      </c>
      <c r="D84" s="6" t="s">
        <v>34</v>
      </c>
      <c r="E84" s="7" t="s">
        <v>80</v>
      </c>
      <c r="F84" s="8">
        <v>45438</v>
      </c>
      <c r="G84" s="7" t="s">
        <v>42</v>
      </c>
      <c r="H84" s="7" t="s">
        <v>70</v>
      </c>
      <c r="I84" s="7" t="s">
        <v>71</v>
      </c>
      <c r="J84" s="7" t="s">
        <v>129</v>
      </c>
      <c r="K84" s="9">
        <v>500</v>
      </c>
      <c r="L84" s="9">
        <v>350</v>
      </c>
    </row>
    <row r="85" spans="1:12" ht="18" customHeight="1" x14ac:dyDescent="0.35">
      <c r="A85" s="2" t="s">
        <v>253</v>
      </c>
      <c r="B85" s="3" t="s">
        <v>254</v>
      </c>
      <c r="C85" s="2">
        <v>13</v>
      </c>
      <c r="D85" s="2" t="s">
        <v>34</v>
      </c>
      <c r="E85" s="3" t="s">
        <v>35</v>
      </c>
      <c r="F85" s="4">
        <v>45179</v>
      </c>
      <c r="G85" s="3" t="s">
        <v>17</v>
      </c>
      <c r="H85" s="3" t="s">
        <v>64</v>
      </c>
      <c r="I85" s="3" t="s">
        <v>19</v>
      </c>
      <c r="J85" s="3" t="s">
        <v>20</v>
      </c>
      <c r="K85" s="5">
        <v>900</v>
      </c>
      <c r="L85" s="5">
        <v>630</v>
      </c>
    </row>
    <row r="86" spans="1:12" ht="18" customHeight="1" x14ac:dyDescent="0.35">
      <c r="A86" s="6" t="s">
        <v>255</v>
      </c>
      <c r="B86" s="7" t="s">
        <v>256</v>
      </c>
      <c r="C86" s="6">
        <v>33</v>
      </c>
      <c r="D86" s="6" t="s">
        <v>34</v>
      </c>
      <c r="E86" s="7" t="s">
        <v>35</v>
      </c>
      <c r="F86" s="8">
        <v>45513</v>
      </c>
      <c r="G86" s="7" t="s">
        <v>48</v>
      </c>
      <c r="H86" s="7" t="s">
        <v>93</v>
      </c>
      <c r="I86" s="7" t="s">
        <v>257</v>
      </c>
      <c r="J86" s="7" t="s">
        <v>56</v>
      </c>
      <c r="K86" s="9">
        <v>550</v>
      </c>
      <c r="L86" s="9">
        <v>470</v>
      </c>
    </row>
    <row r="87" spans="1:12" ht="18" customHeight="1" x14ac:dyDescent="0.35">
      <c r="A87" s="2" t="s">
        <v>258</v>
      </c>
      <c r="B87" s="3" t="s">
        <v>259</v>
      </c>
      <c r="C87" s="2">
        <v>70</v>
      </c>
      <c r="D87" s="2" t="s">
        <v>34</v>
      </c>
      <c r="E87" s="3" t="s">
        <v>35</v>
      </c>
      <c r="F87" s="4">
        <v>45491</v>
      </c>
      <c r="G87" s="3" t="s">
        <v>42</v>
      </c>
      <c r="H87" s="3" t="s">
        <v>70</v>
      </c>
      <c r="I87" s="3" t="s">
        <v>110</v>
      </c>
      <c r="J87" s="3" t="s">
        <v>197</v>
      </c>
      <c r="K87" s="5">
        <v>450</v>
      </c>
      <c r="L87" s="5">
        <v>310</v>
      </c>
    </row>
    <row r="88" spans="1:12" ht="18" customHeight="1" x14ac:dyDescent="0.35">
      <c r="A88" s="6" t="s">
        <v>260</v>
      </c>
      <c r="B88" s="7" t="s">
        <v>261</v>
      </c>
      <c r="C88" s="6">
        <v>13</v>
      </c>
      <c r="D88" s="6" t="s">
        <v>34</v>
      </c>
      <c r="E88" s="7" t="s">
        <v>80</v>
      </c>
      <c r="F88" s="8">
        <v>45479</v>
      </c>
      <c r="G88" s="7" t="s">
        <v>42</v>
      </c>
      <c r="H88" s="7" t="s">
        <v>70</v>
      </c>
      <c r="I88" s="7" t="s">
        <v>65</v>
      </c>
      <c r="J88" s="7" t="s">
        <v>197</v>
      </c>
      <c r="K88" s="9">
        <v>450</v>
      </c>
      <c r="L88" s="9">
        <v>280</v>
      </c>
    </row>
    <row r="89" spans="1:12" ht="18" customHeight="1" x14ac:dyDescent="0.35">
      <c r="A89" s="2" t="s">
        <v>262</v>
      </c>
      <c r="B89" s="3" t="s">
        <v>263</v>
      </c>
      <c r="C89" s="2">
        <v>65</v>
      </c>
      <c r="D89" s="2" t="s">
        <v>34</v>
      </c>
      <c r="E89" s="3" t="s">
        <v>27</v>
      </c>
      <c r="F89" s="4">
        <v>45491</v>
      </c>
      <c r="G89" s="3" t="s">
        <v>17</v>
      </c>
      <c r="H89" s="3" t="s">
        <v>64</v>
      </c>
      <c r="I89" s="3" t="s">
        <v>65</v>
      </c>
      <c r="J89" s="3" t="s">
        <v>148</v>
      </c>
      <c r="K89" s="5">
        <v>1150</v>
      </c>
      <c r="L89" s="5">
        <v>620</v>
      </c>
    </row>
    <row r="90" spans="1:12" ht="18" customHeight="1" x14ac:dyDescent="0.35">
      <c r="A90" s="6" t="s">
        <v>264</v>
      </c>
      <c r="B90" s="7" t="s">
        <v>265</v>
      </c>
      <c r="C90" s="6">
        <v>50</v>
      </c>
      <c r="D90" s="6" t="s">
        <v>34</v>
      </c>
      <c r="E90" s="7" t="s">
        <v>16</v>
      </c>
      <c r="F90" s="8">
        <v>45427</v>
      </c>
      <c r="G90" s="7" t="s">
        <v>17</v>
      </c>
      <c r="H90" s="7" t="s">
        <v>23</v>
      </c>
      <c r="I90" s="7" t="s">
        <v>65</v>
      </c>
      <c r="J90" s="7" t="s">
        <v>148</v>
      </c>
      <c r="K90" s="9">
        <v>750</v>
      </c>
      <c r="L90" s="9">
        <v>900</v>
      </c>
    </row>
    <row r="91" spans="1:12" ht="18" customHeight="1" x14ac:dyDescent="0.35">
      <c r="A91" s="2" t="s">
        <v>266</v>
      </c>
      <c r="B91" s="3" t="s">
        <v>267</v>
      </c>
      <c r="C91" s="2">
        <v>44</v>
      </c>
      <c r="D91" s="2" t="s">
        <v>15</v>
      </c>
      <c r="E91" s="3" t="s">
        <v>80</v>
      </c>
      <c r="F91" s="4">
        <v>45628</v>
      </c>
      <c r="G91" s="3" t="s">
        <v>17</v>
      </c>
      <c r="H91" s="3" t="s">
        <v>18</v>
      </c>
      <c r="I91" s="3" t="s">
        <v>19</v>
      </c>
      <c r="J91" s="3" t="s">
        <v>226</v>
      </c>
      <c r="K91" s="5">
        <v>850</v>
      </c>
      <c r="L91" s="5">
        <v>340</v>
      </c>
    </row>
    <row r="92" spans="1:12" ht="18" customHeight="1" x14ac:dyDescent="0.35">
      <c r="A92" s="6" t="s">
        <v>268</v>
      </c>
      <c r="B92" s="7" t="s">
        <v>269</v>
      </c>
      <c r="C92" s="6">
        <v>65</v>
      </c>
      <c r="D92" s="6" t="s">
        <v>15</v>
      </c>
      <c r="E92" s="7" t="s">
        <v>16</v>
      </c>
      <c r="F92" s="8">
        <v>45227</v>
      </c>
      <c r="G92" s="7" t="s">
        <v>42</v>
      </c>
      <c r="H92" s="7" t="s">
        <v>43</v>
      </c>
      <c r="I92" s="7" t="s">
        <v>136</v>
      </c>
      <c r="J92" s="7" t="s">
        <v>72</v>
      </c>
      <c r="K92" s="9">
        <v>350</v>
      </c>
      <c r="L92" s="9">
        <v>340</v>
      </c>
    </row>
    <row r="93" spans="1:12" ht="18" customHeight="1" x14ac:dyDescent="0.35">
      <c r="A93" s="2" t="s">
        <v>270</v>
      </c>
      <c r="B93" s="3" t="s">
        <v>271</v>
      </c>
      <c r="C93" s="2">
        <v>18</v>
      </c>
      <c r="D93" s="2" t="s">
        <v>15</v>
      </c>
      <c r="E93" s="3" t="s">
        <v>107</v>
      </c>
      <c r="F93" s="4">
        <v>45223</v>
      </c>
      <c r="G93" s="3" t="s">
        <v>48</v>
      </c>
      <c r="H93" s="3" t="s">
        <v>49</v>
      </c>
      <c r="I93" s="3" t="s">
        <v>151</v>
      </c>
      <c r="J93" s="3" t="s">
        <v>141</v>
      </c>
      <c r="K93" s="5">
        <v>600</v>
      </c>
      <c r="L93" s="5">
        <v>350</v>
      </c>
    </row>
    <row r="94" spans="1:12" ht="18" customHeight="1" x14ac:dyDescent="0.35">
      <c r="A94" s="6" t="s">
        <v>272</v>
      </c>
      <c r="B94" s="7" t="s">
        <v>273</v>
      </c>
      <c r="C94" s="6">
        <v>21</v>
      </c>
      <c r="D94" s="6" t="s">
        <v>34</v>
      </c>
      <c r="E94" s="7" t="s">
        <v>16</v>
      </c>
      <c r="F94" s="8">
        <v>45058</v>
      </c>
      <c r="G94" s="7" t="s">
        <v>17</v>
      </c>
      <c r="H94" s="7" t="s">
        <v>18</v>
      </c>
      <c r="I94" s="7" t="s">
        <v>147</v>
      </c>
      <c r="J94" s="7" t="s">
        <v>226</v>
      </c>
      <c r="K94" s="9">
        <v>1000</v>
      </c>
      <c r="L94" s="9">
        <v>620</v>
      </c>
    </row>
    <row r="95" spans="1:12" ht="18" customHeight="1" x14ac:dyDescent="0.35">
      <c r="A95" s="2" t="s">
        <v>274</v>
      </c>
      <c r="B95" s="3" t="s">
        <v>275</v>
      </c>
      <c r="C95" s="2">
        <v>10</v>
      </c>
      <c r="D95" s="2" t="s">
        <v>15</v>
      </c>
      <c r="E95" s="3" t="s">
        <v>16</v>
      </c>
      <c r="F95" s="4">
        <v>44996</v>
      </c>
      <c r="G95" s="3" t="s">
        <v>42</v>
      </c>
      <c r="H95" s="3" t="s">
        <v>43</v>
      </c>
      <c r="I95" s="3" t="s">
        <v>136</v>
      </c>
      <c r="J95" s="3" t="s">
        <v>197</v>
      </c>
      <c r="K95" s="5">
        <v>450</v>
      </c>
      <c r="L95" s="5">
        <v>100</v>
      </c>
    </row>
    <row r="96" spans="1:12" ht="18" customHeight="1" x14ac:dyDescent="0.35">
      <c r="A96" s="6" t="s">
        <v>276</v>
      </c>
      <c r="B96" s="7" t="s">
        <v>277</v>
      </c>
      <c r="C96" s="6">
        <v>51</v>
      </c>
      <c r="D96" s="6" t="s">
        <v>34</v>
      </c>
      <c r="E96" s="7" t="s">
        <v>27</v>
      </c>
      <c r="F96" s="8">
        <v>44969</v>
      </c>
      <c r="G96" s="7" t="s">
        <v>36</v>
      </c>
      <c r="H96" s="7" t="s">
        <v>81</v>
      </c>
      <c r="I96" s="7" t="s">
        <v>132</v>
      </c>
      <c r="J96" s="7" t="s">
        <v>77</v>
      </c>
      <c r="K96" s="9">
        <v>1000</v>
      </c>
      <c r="L96" s="9">
        <v>260</v>
      </c>
    </row>
    <row r="97" spans="1:12" ht="18" customHeight="1" x14ac:dyDescent="0.35">
      <c r="A97" s="2" t="s">
        <v>278</v>
      </c>
      <c r="B97" s="3" t="s">
        <v>279</v>
      </c>
      <c r="C97" s="2">
        <v>55</v>
      </c>
      <c r="D97" s="2" t="s">
        <v>34</v>
      </c>
      <c r="E97" s="3" t="s">
        <v>35</v>
      </c>
      <c r="F97" s="4">
        <v>45421</v>
      </c>
      <c r="G97" s="3" t="s">
        <v>42</v>
      </c>
      <c r="H97" s="3" t="s">
        <v>70</v>
      </c>
      <c r="I97" s="3" t="s">
        <v>136</v>
      </c>
      <c r="J97" s="3" t="s">
        <v>45</v>
      </c>
      <c r="K97" s="5">
        <v>300</v>
      </c>
      <c r="L97" s="5">
        <v>250</v>
      </c>
    </row>
    <row r="98" spans="1:12" ht="18" customHeight="1" x14ac:dyDescent="0.35">
      <c r="A98" s="6" t="s">
        <v>280</v>
      </c>
      <c r="B98" s="7" t="s">
        <v>281</v>
      </c>
      <c r="C98" s="6">
        <v>59</v>
      </c>
      <c r="D98" s="6" t="s">
        <v>34</v>
      </c>
      <c r="E98" s="7" t="s">
        <v>35</v>
      </c>
      <c r="F98" s="8">
        <v>44985</v>
      </c>
      <c r="G98" s="7" t="s">
        <v>17</v>
      </c>
      <c r="H98" s="7" t="s">
        <v>18</v>
      </c>
      <c r="I98" s="7" t="s">
        <v>65</v>
      </c>
      <c r="J98" s="7" t="s">
        <v>24</v>
      </c>
      <c r="K98" s="9">
        <v>1050</v>
      </c>
      <c r="L98" s="9">
        <v>400</v>
      </c>
    </row>
    <row r="99" spans="1:12" ht="18" customHeight="1" x14ac:dyDescent="0.35">
      <c r="A99" s="2" t="s">
        <v>282</v>
      </c>
      <c r="B99" s="3" t="s">
        <v>283</v>
      </c>
      <c r="C99" s="2">
        <v>59</v>
      </c>
      <c r="D99" s="2" t="s">
        <v>34</v>
      </c>
      <c r="E99" s="3" t="s">
        <v>16</v>
      </c>
      <c r="F99" s="4">
        <v>45224</v>
      </c>
      <c r="G99" s="3" t="s">
        <v>17</v>
      </c>
      <c r="H99" s="3" t="s">
        <v>18</v>
      </c>
      <c r="I99" s="3" t="s">
        <v>19</v>
      </c>
      <c r="J99" s="3" t="s">
        <v>20</v>
      </c>
      <c r="K99" s="5">
        <v>1000</v>
      </c>
      <c r="L99" s="5">
        <v>580</v>
      </c>
    </row>
    <row r="100" spans="1:12" ht="18" customHeight="1" x14ac:dyDescent="0.35">
      <c r="A100" s="6" t="s">
        <v>284</v>
      </c>
      <c r="B100" s="7" t="s">
        <v>285</v>
      </c>
      <c r="C100" s="6">
        <v>19</v>
      </c>
      <c r="D100" s="6" t="s">
        <v>34</v>
      </c>
      <c r="E100" s="7" t="s">
        <v>16</v>
      </c>
      <c r="F100" s="8">
        <v>45294</v>
      </c>
      <c r="G100" s="7" t="s">
        <v>48</v>
      </c>
      <c r="H100" s="7" t="s">
        <v>54</v>
      </c>
      <c r="I100" s="7" t="s">
        <v>55</v>
      </c>
      <c r="J100" s="7" t="s">
        <v>51</v>
      </c>
      <c r="K100" s="9">
        <v>750</v>
      </c>
      <c r="L100" s="9">
        <v>260</v>
      </c>
    </row>
    <row r="101" spans="1:12" ht="18" customHeight="1" x14ac:dyDescent="0.35">
      <c r="A101" s="2" t="s">
        <v>286</v>
      </c>
      <c r="B101" s="3" t="s">
        <v>287</v>
      </c>
      <c r="C101" s="2">
        <v>53</v>
      </c>
      <c r="D101" s="2" t="s">
        <v>773</v>
      </c>
      <c r="E101" s="3" t="s">
        <v>16</v>
      </c>
      <c r="F101" s="4">
        <v>45524</v>
      </c>
      <c r="G101" s="3" t="s">
        <v>17</v>
      </c>
      <c r="H101" s="3" t="s">
        <v>23</v>
      </c>
      <c r="I101" s="3" t="s">
        <v>192</v>
      </c>
      <c r="J101" s="3" t="s">
        <v>148</v>
      </c>
      <c r="K101" s="5">
        <v>1200</v>
      </c>
      <c r="L101" s="5">
        <v>350</v>
      </c>
    </row>
    <row r="102" spans="1:12" ht="18" customHeight="1" x14ac:dyDescent="0.35">
      <c r="A102" s="6" t="s">
        <v>288</v>
      </c>
      <c r="B102" s="7" t="s">
        <v>289</v>
      </c>
      <c r="C102" s="6">
        <v>42</v>
      </c>
      <c r="D102" s="6" t="s">
        <v>15</v>
      </c>
      <c r="E102" s="7" t="s">
        <v>27</v>
      </c>
      <c r="F102" s="8">
        <v>45004</v>
      </c>
      <c r="G102" s="7" t="s">
        <v>42</v>
      </c>
      <c r="H102" s="7" t="s">
        <v>89</v>
      </c>
      <c r="I102" s="7" t="s">
        <v>71</v>
      </c>
      <c r="J102" s="7" t="s">
        <v>90</v>
      </c>
      <c r="K102" s="9">
        <v>400</v>
      </c>
      <c r="L102" s="9">
        <v>400</v>
      </c>
    </row>
    <row r="103" spans="1:12" ht="18" customHeight="1" x14ac:dyDescent="0.35">
      <c r="A103" s="2" t="s">
        <v>290</v>
      </c>
      <c r="B103" s="3" t="s">
        <v>291</v>
      </c>
      <c r="C103" s="2">
        <v>59</v>
      </c>
      <c r="D103" s="2" t="s">
        <v>34</v>
      </c>
      <c r="E103" s="3" t="s">
        <v>16</v>
      </c>
      <c r="F103" s="4">
        <v>45567</v>
      </c>
      <c r="G103" s="3" t="s">
        <v>28</v>
      </c>
      <c r="H103" s="3" t="s">
        <v>29</v>
      </c>
      <c r="I103" s="3" t="s">
        <v>60</v>
      </c>
      <c r="J103" s="3" t="s">
        <v>61</v>
      </c>
      <c r="K103" s="5">
        <v>600</v>
      </c>
      <c r="L103" s="5">
        <v>190</v>
      </c>
    </row>
    <row r="104" spans="1:12" ht="18" customHeight="1" x14ac:dyDescent="0.35">
      <c r="A104" s="6" t="s">
        <v>292</v>
      </c>
      <c r="B104" s="7" t="s">
        <v>293</v>
      </c>
      <c r="C104" s="6">
        <v>72</v>
      </c>
      <c r="D104" s="6" t="s">
        <v>34</v>
      </c>
      <c r="E104" s="7" t="s">
        <v>27</v>
      </c>
      <c r="F104" s="8">
        <v>45040</v>
      </c>
      <c r="G104" s="7" t="s">
        <v>28</v>
      </c>
      <c r="H104" s="7" t="s">
        <v>122</v>
      </c>
      <c r="I104" s="7" t="s">
        <v>30</v>
      </c>
      <c r="J104" s="7" t="s">
        <v>61</v>
      </c>
      <c r="K104" s="9">
        <v>550</v>
      </c>
      <c r="L104" s="9">
        <v>90</v>
      </c>
    </row>
    <row r="105" spans="1:12" ht="18" customHeight="1" x14ac:dyDescent="0.35">
      <c r="A105" s="2" t="s">
        <v>294</v>
      </c>
      <c r="B105" s="3" t="s">
        <v>295</v>
      </c>
      <c r="C105" s="2">
        <v>10</v>
      </c>
      <c r="D105" s="2" t="s">
        <v>15</v>
      </c>
      <c r="E105" s="3" t="s">
        <v>16</v>
      </c>
      <c r="F105" s="4">
        <v>45188</v>
      </c>
      <c r="G105" s="3" t="s">
        <v>48</v>
      </c>
      <c r="H105" s="3" t="s">
        <v>93</v>
      </c>
      <c r="I105" s="3" t="s">
        <v>50</v>
      </c>
      <c r="J105" s="3" t="s">
        <v>56</v>
      </c>
      <c r="K105" s="5">
        <v>750</v>
      </c>
      <c r="L105" s="5">
        <v>450</v>
      </c>
    </row>
    <row r="106" spans="1:12" ht="18" customHeight="1" x14ac:dyDescent="0.35">
      <c r="A106" s="6" t="s">
        <v>296</v>
      </c>
      <c r="B106" s="7" t="s">
        <v>297</v>
      </c>
      <c r="C106" s="6">
        <v>29</v>
      </c>
      <c r="D106" s="6" t="s">
        <v>15</v>
      </c>
      <c r="E106" s="7" t="s">
        <v>35</v>
      </c>
      <c r="F106" s="8">
        <v>45163</v>
      </c>
      <c r="G106" s="7" t="s">
        <v>28</v>
      </c>
      <c r="H106" s="7" t="s">
        <v>122</v>
      </c>
      <c r="I106" s="7" t="s">
        <v>123</v>
      </c>
      <c r="J106" s="7" t="s">
        <v>298</v>
      </c>
      <c r="K106" s="9">
        <v>650</v>
      </c>
      <c r="L106" s="9">
        <v>140</v>
      </c>
    </row>
    <row r="107" spans="1:12" ht="18" customHeight="1" x14ac:dyDescent="0.35">
      <c r="A107" s="2" t="s">
        <v>299</v>
      </c>
      <c r="B107" s="3" t="s">
        <v>300</v>
      </c>
      <c r="C107" s="2">
        <v>74</v>
      </c>
      <c r="D107" s="2" t="s">
        <v>772</v>
      </c>
      <c r="E107" s="3" t="s">
        <v>35</v>
      </c>
      <c r="F107" s="4">
        <v>45589</v>
      </c>
      <c r="G107" s="3" t="s">
        <v>48</v>
      </c>
      <c r="H107" s="3" t="s">
        <v>54</v>
      </c>
      <c r="I107" s="3" t="s">
        <v>94</v>
      </c>
      <c r="J107" s="3" t="s">
        <v>51</v>
      </c>
      <c r="K107" s="5">
        <v>750</v>
      </c>
      <c r="L107" s="5">
        <v>300</v>
      </c>
    </row>
    <row r="108" spans="1:12" ht="18" customHeight="1" x14ac:dyDescent="0.35">
      <c r="A108" s="6" t="s">
        <v>301</v>
      </c>
      <c r="B108" s="7" t="s">
        <v>302</v>
      </c>
      <c r="C108" s="6">
        <v>29</v>
      </c>
      <c r="D108" s="6" t="s">
        <v>15</v>
      </c>
      <c r="E108" s="7" t="s">
        <v>16</v>
      </c>
      <c r="F108" s="8">
        <v>44967</v>
      </c>
      <c r="G108" s="7" t="s">
        <v>42</v>
      </c>
      <c r="H108" s="7" t="s">
        <v>89</v>
      </c>
      <c r="I108" s="7" t="s">
        <v>85</v>
      </c>
      <c r="J108" s="7" t="s">
        <v>90</v>
      </c>
      <c r="K108" s="9">
        <v>350</v>
      </c>
      <c r="L108" s="9">
        <v>330</v>
      </c>
    </row>
    <row r="109" spans="1:12" ht="18" customHeight="1" x14ac:dyDescent="0.35">
      <c r="A109" s="2" t="s">
        <v>303</v>
      </c>
      <c r="B109" s="3" t="s">
        <v>304</v>
      </c>
      <c r="C109" s="2">
        <v>55</v>
      </c>
      <c r="D109" s="2" t="s">
        <v>34</v>
      </c>
      <c r="E109" s="3" t="s">
        <v>35</v>
      </c>
      <c r="F109" s="4">
        <v>45524</v>
      </c>
      <c r="G109" s="3" t="s">
        <v>17</v>
      </c>
      <c r="H109" s="3" t="s">
        <v>18</v>
      </c>
      <c r="I109" s="3" t="s">
        <v>192</v>
      </c>
      <c r="J109" s="3" t="s">
        <v>20</v>
      </c>
      <c r="K109" s="5">
        <v>950</v>
      </c>
      <c r="L109" s="5">
        <v>900</v>
      </c>
    </row>
    <row r="110" spans="1:12" ht="18" customHeight="1" x14ac:dyDescent="0.35">
      <c r="A110" s="6" t="s">
        <v>305</v>
      </c>
      <c r="B110" s="7" t="s">
        <v>306</v>
      </c>
      <c r="C110" s="6">
        <v>31</v>
      </c>
      <c r="D110" s="6" t="s">
        <v>34</v>
      </c>
      <c r="E110" s="7" t="s">
        <v>16</v>
      </c>
      <c r="F110" s="8">
        <v>45459</v>
      </c>
      <c r="G110" s="7" t="s">
        <v>36</v>
      </c>
      <c r="H110" s="7" t="s">
        <v>37</v>
      </c>
      <c r="I110" s="7" t="s">
        <v>104</v>
      </c>
      <c r="J110" s="7" t="s">
        <v>77</v>
      </c>
      <c r="K110" s="9">
        <v>950</v>
      </c>
      <c r="L110" s="9">
        <v>330</v>
      </c>
    </row>
    <row r="111" spans="1:12" ht="18" customHeight="1" x14ac:dyDescent="0.35">
      <c r="A111" s="2" t="s">
        <v>307</v>
      </c>
      <c r="B111" s="3" t="s">
        <v>308</v>
      </c>
      <c r="C111" s="2">
        <v>54</v>
      </c>
      <c r="D111" s="2" t="s">
        <v>34</v>
      </c>
      <c r="E111" s="3" t="s">
        <v>16</v>
      </c>
      <c r="F111" s="4">
        <v>45510</v>
      </c>
      <c r="G111" s="3" t="s">
        <v>48</v>
      </c>
      <c r="H111" s="3" t="s">
        <v>49</v>
      </c>
      <c r="I111" s="3" t="s">
        <v>55</v>
      </c>
      <c r="J111" s="3" t="s">
        <v>95</v>
      </c>
      <c r="K111" s="5">
        <v>850</v>
      </c>
      <c r="L111" s="5">
        <v>470</v>
      </c>
    </row>
    <row r="112" spans="1:12" ht="18" customHeight="1" x14ac:dyDescent="0.35">
      <c r="A112" s="6" t="s">
        <v>309</v>
      </c>
      <c r="B112" s="7" t="s">
        <v>310</v>
      </c>
      <c r="C112" s="6">
        <v>68</v>
      </c>
      <c r="D112" s="6" t="s">
        <v>34</v>
      </c>
      <c r="E112" s="7" t="s">
        <v>27</v>
      </c>
      <c r="F112" s="8">
        <v>45082</v>
      </c>
      <c r="G112" s="7" t="s">
        <v>17</v>
      </c>
      <c r="H112" s="7" t="s">
        <v>18</v>
      </c>
      <c r="I112" s="7" t="s">
        <v>19</v>
      </c>
      <c r="J112" s="7" t="s">
        <v>24</v>
      </c>
      <c r="K112" s="9">
        <v>850</v>
      </c>
      <c r="L112" s="9">
        <v>420</v>
      </c>
    </row>
    <row r="113" spans="1:12" ht="18" customHeight="1" x14ac:dyDescent="0.35">
      <c r="A113" s="2" t="s">
        <v>311</v>
      </c>
      <c r="B113" s="3" t="s">
        <v>312</v>
      </c>
      <c r="C113" s="2">
        <v>41</v>
      </c>
      <c r="D113" s="2" t="s">
        <v>15</v>
      </c>
      <c r="E113" s="3" t="s">
        <v>107</v>
      </c>
      <c r="F113" s="4">
        <v>45237</v>
      </c>
      <c r="G113" s="3" t="s">
        <v>17</v>
      </c>
      <c r="H113" s="3" t="s">
        <v>23</v>
      </c>
      <c r="I113" s="3" t="s">
        <v>19</v>
      </c>
      <c r="J113" s="3" t="s">
        <v>20</v>
      </c>
      <c r="K113" s="5">
        <v>750</v>
      </c>
      <c r="L113" s="5">
        <v>890</v>
      </c>
    </row>
    <row r="114" spans="1:12" ht="18" customHeight="1" x14ac:dyDescent="0.35">
      <c r="A114" s="6" t="s">
        <v>313</v>
      </c>
      <c r="B114" s="7" t="s">
        <v>314</v>
      </c>
      <c r="C114" s="6">
        <v>4</v>
      </c>
      <c r="D114" s="6" t="s">
        <v>15</v>
      </c>
      <c r="E114" s="7" t="s">
        <v>69</v>
      </c>
      <c r="F114" s="8">
        <v>44984</v>
      </c>
      <c r="G114" s="7" t="s">
        <v>17</v>
      </c>
      <c r="H114" s="7" t="s">
        <v>18</v>
      </c>
      <c r="I114" s="7" t="s">
        <v>147</v>
      </c>
      <c r="J114" s="7" t="s">
        <v>226</v>
      </c>
      <c r="K114" s="9">
        <v>900</v>
      </c>
      <c r="L114" s="9">
        <v>370</v>
      </c>
    </row>
    <row r="115" spans="1:12" ht="18" customHeight="1" x14ac:dyDescent="0.35">
      <c r="A115" s="2" t="s">
        <v>315</v>
      </c>
      <c r="B115" s="3" t="s">
        <v>316</v>
      </c>
      <c r="C115" s="2">
        <v>53</v>
      </c>
      <c r="D115" s="2" t="s">
        <v>15</v>
      </c>
      <c r="E115" s="3" t="s">
        <v>80</v>
      </c>
      <c r="F115" s="4">
        <v>45114</v>
      </c>
      <c r="G115" s="3" t="s">
        <v>36</v>
      </c>
      <c r="H115" s="3" t="s">
        <v>75</v>
      </c>
      <c r="I115" s="3" t="s">
        <v>76</v>
      </c>
      <c r="J115" s="3" t="s">
        <v>133</v>
      </c>
      <c r="K115" s="5">
        <v>900</v>
      </c>
      <c r="L115" s="5">
        <v>540</v>
      </c>
    </row>
    <row r="116" spans="1:12" ht="18" customHeight="1" x14ac:dyDescent="0.35">
      <c r="A116" s="6" t="s">
        <v>317</v>
      </c>
      <c r="B116" s="7" t="s">
        <v>318</v>
      </c>
      <c r="C116" s="6">
        <v>25</v>
      </c>
      <c r="D116" s="6" t="s">
        <v>15</v>
      </c>
      <c r="E116" s="7" t="s">
        <v>80</v>
      </c>
      <c r="F116" s="8">
        <v>45323</v>
      </c>
      <c r="G116" s="7" t="s">
        <v>36</v>
      </c>
      <c r="H116" s="7" t="s">
        <v>75</v>
      </c>
      <c r="I116" s="7" t="s">
        <v>76</v>
      </c>
      <c r="J116" s="7" t="s">
        <v>133</v>
      </c>
      <c r="K116" s="9">
        <v>650</v>
      </c>
      <c r="L116" s="9">
        <v>500</v>
      </c>
    </row>
    <row r="117" spans="1:12" ht="18" customHeight="1" x14ac:dyDescent="0.35">
      <c r="A117" s="2" t="s">
        <v>319</v>
      </c>
      <c r="B117" s="3" t="s">
        <v>320</v>
      </c>
      <c r="C117" s="2">
        <v>43</v>
      </c>
      <c r="D117" s="2" t="s">
        <v>15</v>
      </c>
      <c r="E117" s="3" t="s">
        <v>27</v>
      </c>
      <c r="F117" s="4">
        <v>44975</v>
      </c>
      <c r="G117" s="3" t="s">
        <v>36</v>
      </c>
      <c r="H117" s="3" t="s">
        <v>75</v>
      </c>
      <c r="I117" s="3" t="s">
        <v>76</v>
      </c>
      <c r="J117" s="3" t="s">
        <v>82</v>
      </c>
      <c r="K117" s="5">
        <v>850</v>
      </c>
      <c r="L117" s="5">
        <v>310</v>
      </c>
    </row>
    <row r="118" spans="1:12" ht="18" customHeight="1" x14ac:dyDescent="0.35">
      <c r="A118" s="6" t="s">
        <v>321</v>
      </c>
      <c r="B118" s="7" t="s">
        <v>322</v>
      </c>
      <c r="C118" s="6">
        <v>65</v>
      </c>
      <c r="D118" s="6" t="s">
        <v>34</v>
      </c>
      <c r="E118" s="7" t="s">
        <v>69</v>
      </c>
      <c r="F118" s="8">
        <v>45294</v>
      </c>
      <c r="G118" s="7" t="s">
        <v>42</v>
      </c>
      <c r="H118" s="7" t="s">
        <v>70</v>
      </c>
      <c r="I118" s="7" t="s">
        <v>110</v>
      </c>
      <c r="J118" s="7" t="s">
        <v>197</v>
      </c>
      <c r="K118" s="9">
        <v>450</v>
      </c>
      <c r="L118" s="9">
        <v>130</v>
      </c>
    </row>
    <row r="119" spans="1:12" ht="18" customHeight="1" x14ac:dyDescent="0.35">
      <c r="A119" s="2" t="s">
        <v>323</v>
      </c>
      <c r="B119" s="3" t="s">
        <v>324</v>
      </c>
      <c r="C119" s="2">
        <v>49</v>
      </c>
      <c r="D119" s="2" t="s">
        <v>15</v>
      </c>
      <c r="E119" s="3" t="s">
        <v>69</v>
      </c>
      <c r="F119" s="4">
        <v>44974</v>
      </c>
      <c r="G119" s="3" t="s">
        <v>42</v>
      </c>
      <c r="H119" s="3" t="s">
        <v>70</v>
      </c>
      <c r="I119" s="3" t="s">
        <v>110</v>
      </c>
      <c r="J119" s="3" t="s">
        <v>129</v>
      </c>
      <c r="K119" s="5">
        <v>450</v>
      </c>
      <c r="L119" s="5">
        <v>170</v>
      </c>
    </row>
    <row r="120" spans="1:12" ht="18" customHeight="1" x14ac:dyDescent="0.35">
      <c r="A120" s="6" t="s">
        <v>325</v>
      </c>
      <c r="B120" s="7" t="s">
        <v>326</v>
      </c>
      <c r="C120" s="6">
        <v>4</v>
      </c>
      <c r="D120" s="6" t="s">
        <v>15</v>
      </c>
      <c r="E120" s="7" t="s">
        <v>80</v>
      </c>
      <c r="F120" s="8">
        <v>45248</v>
      </c>
      <c r="G120" s="7" t="s">
        <v>42</v>
      </c>
      <c r="H120" s="7" t="s">
        <v>70</v>
      </c>
      <c r="I120" s="7" t="s">
        <v>110</v>
      </c>
      <c r="J120" s="7" t="s">
        <v>119</v>
      </c>
      <c r="K120" s="9">
        <v>400</v>
      </c>
      <c r="L120" s="9">
        <v>240</v>
      </c>
    </row>
    <row r="121" spans="1:12" ht="18" customHeight="1" x14ac:dyDescent="0.35">
      <c r="A121" s="2" t="s">
        <v>327</v>
      </c>
      <c r="B121" s="3" t="s">
        <v>328</v>
      </c>
      <c r="C121" s="2">
        <v>62</v>
      </c>
      <c r="D121" s="2" t="s">
        <v>15</v>
      </c>
      <c r="E121" s="3" t="s">
        <v>16</v>
      </c>
      <c r="F121" s="4">
        <v>45638</v>
      </c>
      <c r="G121" s="3" t="s">
        <v>48</v>
      </c>
      <c r="H121" s="3" t="s">
        <v>49</v>
      </c>
      <c r="I121" s="3" t="s">
        <v>50</v>
      </c>
      <c r="J121" s="3" t="s">
        <v>56</v>
      </c>
      <c r="K121" s="5">
        <v>650</v>
      </c>
      <c r="L121" s="5">
        <v>440</v>
      </c>
    </row>
    <row r="122" spans="1:12" ht="18" customHeight="1" x14ac:dyDescent="0.35">
      <c r="A122" s="6" t="s">
        <v>329</v>
      </c>
      <c r="B122" s="7" t="s">
        <v>330</v>
      </c>
      <c r="C122" s="6">
        <v>11</v>
      </c>
      <c r="D122" s="6" t="s">
        <v>34</v>
      </c>
      <c r="E122" s="7" t="s">
        <v>69</v>
      </c>
      <c r="F122" s="8">
        <v>45576</v>
      </c>
      <c r="G122" s="7" t="s">
        <v>36</v>
      </c>
      <c r="H122" s="7" t="s">
        <v>37</v>
      </c>
      <c r="I122" s="7" t="s">
        <v>76</v>
      </c>
      <c r="J122" s="7" t="s">
        <v>133</v>
      </c>
      <c r="K122" s="9">
        <v>700</v>
      </c>
      <c r="L122" s="9">
        <v>390</v>
      </c>
    </row>
    <row r="123" spans="1:12" ht="18" customHeight="1" x14ac:dyDescent="0.35">
      <c r="A123" s="2" t="s">
        <v>331</v>
      </c>
      <c r="B123" s="3" t="s">
        <v>332</v>
      </c>
      <c r="C123" s="2">
        <v>13</v>
      </c>
      <c r="D123" s="2" t="s">
        <v>34</v>
      </c>
      <c r="E123" s="3" t="s">
        <v>16</v>
      </c>
      <c r="F123" s="4">
        <v>45243</v>
      </c>
      <c r="G123" s="3" t="s">
        <v>28</v>
      </c>
      <c r="H123" s="3" t="s">
        <v>29</v>
      </c>
      <c r="I123" s="3" t="s">
        <v>174</v>
      </c>
      <c r="J123" s="3" t="s">
        <v>31</v>
      </c>
      <c r="K123" s="5">
        <v>550</v>
      </c>
      <c r="L123" s="5">
        <v>200</v>
      </c>
    </row>
    <row r="124" spans="1:12" ht="18" customHeight="1" x14ac:dyDescent="0.35">
      <c r="A124" s="6" t="s">
        <v>333</v>
      </c>
      <c r="B124" s="7" t="s">
        <v>334</v>
      </c>
      <c r="C124" s="6">
        <v>20</v>
      </c>
      <c r="D124" s="6" t="s">
        <v>34</v>
      </c>
      <c r="E124" s="7" t="s">
        <v>35</v>
      </c>
      <c r="F124" s="8">
        <v>45637</v>
      </c>
      <c r="G124" s="7" t="s">
        <v>42</v>
      </c>
      <c r="H124" s="7" t="s">
        <v>43</v>
      </c>
      <c r="I124" s="7" t="s">
        <v>85</v>
      </c>
      <c r="J124" s="7" t="s">
        <v>72</v>
      </c>
      <c r="K124" s="9">
        <v>450</v>
      </c>
      <c r="L124" s="9">
        <v>290</v>
      </c>
    </row>
    <row r="125" spans="1:12" ht="18" customHeight="1" x14ac:dyDescent="0.35">
      <c r="A125" s="2" t="s">
        <v>335</v>
      </c>
      <c r="B125" s="3" t="s">
        <v>336</v>
      </c>
      <c r="C125" s="2">
        <v>21</v>
      </c>
      <c r="D125" s="2" t="s">
        <v>15</v>
      </c>
      <c r="E125" s="3" t="s">
        <v>35</v>
      </c>
      <c r="F125" s="4">
        <v>45124</v>
      </c>
      <c r="G125" s="3" t="s">
        <v>36</v>
      </c>
      <c r="H125" s="3" t="s">
        <v>81</v>
      </c>
      <c r="I125" s="3" t="s">
        <v>38</v>
      </c>
      <c r="J125" s="3" t="s">
        <v>39</v>
      </c>
      <c r="K125" s="5">
        <v>800</v>
      </c>
      <c r="L125" s="5">
        <v>630</v>
      </c>
    </row>
    <row r="126" spans="1:12" ht="18" customHeight="1" x14ac:dyDescent="0.35">
      <c r="A126" s="6" t="s">
        <v>337</v>
      </c>
      <c r="B126" s="7" t="s">
        <v>338</v>
      </c>
      <c r="C126" s="6">
        <v>34</v>
      </c>
      <c r="D126" s="6" t="s">
        <v>15</v>
      </c>
      <c r="E126" s="7" t="s">
        <v>80</v>
      </c>
      <c r="F126" s="8">
        <v>45155</v>
      </c>
      <c r="G126" s="7" t="s">
        <v>48</v>
      </c>
      <c r="H126" s="7" t="s">
        <v>54</v>
      </c>
      <c r="I126" s="7" t="s">
        <v>151</v>
      </c>
      <c r="J126" s="7" t="s">
        <v>141</v>
      </c>
      <c r="K126" s="9">
        <v>750</v>
      </c>
      <c r="L126" s="9">
        <v>310</v>
      </c>
    </row>
    <row r="127" spans="1:12" ht="18" customHeight="1" x14ac:dyDescent="0.35">
      <c r="A127" s="2" t="s">
        <v>339</v>
      </c>
      <c r="B127" s="3" t="s">
        <v>340</v>
      </c>
      <c r="C127" s="2">
        <v>18</v>
      </c>
      <c r="D127" s="2" t="s">
        <v>34</v>
      </c>
      <c r="E127" s="3" t="s">
        <v>16</v>
      </c>
      <c r="F127" s="4">
        <v>45078</v>
      </c>
      <c r="G127" s="3" t="s">
        <v>17</v>
      </c>
      <c r="H127" s="3" t="s">
        <v>64</v>
      </c>
      <c r="I127" s="3" t="s">
        <v>65</v>
      </c>
      <c r="J127" s="3" t="s">
        <v>24</v>
      </c>
      <c r="K127" s="5">
        <v>900</v>
      </c>
      <c r="L127" s="5">
        <v>490</v>
      </c>
    </row>
    <row r="128" spans="1:12" ht="18" customHeight="1" x14ac:dyDescent="0.35">
      <c r="A128" s="6" t="s">
        <v>341</v>
      </c>
      <c r="B128" s="7" t="s">
        <v>342</v>
      </c>
      <c r="C128" s="6">
        <v>27</v>
      </c>
      <c r="D128" s="6" t="s">
        <v>15</v>
      </c>
      <c r="E128" s="7" t="s">
        <v>16</v>
      </c>
      <c r="F128" s="8">
        <v>45633</v>
      </c>
      <c r="G128" s="7" t="s">
        <v>17</v>
      </c>
      <c r="H128" s="7" t="s">
        <v>18</v>
      </c>
      <c r="I128" s="7" t="s">
        <v>147</v>
      </c>
      <c r="J128" s="7" t="s">
        <v>24</v>
      </c>
      <c r="K128" s="9">
        <v>950</v>
      </c>
      <c r="L128" s="9">
        <v>730</v>
      </c>
    </row>
    <row r="129" spans="1:12" ht="18" customHeight="1" x14ac:dyDescent="0.35">
      <c r="A129" s="2" t="s">
        <v>343</v>
      </c>
      <c r="B129" s="3" t="s">
        <v>344</v>
      </c>
      <c r="C129" s="2">
        <v>23</v>
      </c>
      <c r="D129" s="2" t="s">
        <v>34</v>
      </c>
      <c r="E129" s="3" t="s">
        <v>69</v>
      </c>
      <c r="F129" s="4">
        <v>45636</v>
      </c>
      <c r="G129" s="3" t="s">
        <v>17</v>
      </c>
      <c r="H129" s="3" t="s">
        <v>64</v>
      </c>
      <c r="I129" s="3" t="s">
        <v>19</v>
      </c>
      <c r="J129" s="3" t="s">
        <v>148</v>
      </c>
      <c r="K129" s="5">
        <v>1000</v>
      </c>
      <c r="L129" s="5">
        <v>550</v>
      </c>
    </row>
    <row r="130" spans="1:12" ht="18" customHeight="1" x14ac:dyDescent="0.35">
      <c r="A130" s="6" t="s">
        <v>345</v>
      </c>
      <c r="B130" s="7" t="s">
        <v>346</v>
      </c>
      <c r="C130" s="6">
        <v>6</v>
      </c>
      <c r="D130" s="6" t="s">
        <v>34</v>
      </c>
      <c r="E130" s="7" t="s">
        <v>35</v>
      </c>
      <c r="F130" s="8">
        <v>45653</v>
      </c>
      <c r="G130" s="7" t="s">
        <v>42</v>
      </c>
      <c r="H130" s="7" t="s">
        <v>70</v>
      </c>
      <c r="I130" s="7" t="s">
        <v>44</v>
      </c>
      <c r="J130" s="7" t="s">
        <v>197</v>
      </c>
      <c r="K130" s="9">
        <v>350</v>
      </c>
      <c r="L130" s="9">
        <v>160</v>
      </c>
    </row>
    <row r="131" spans="1:12" ht="18" customHeight="1" x14ac:dyDescent="0.35">
      <c r="A131" s="2" t="s">
        <v>347</v>
      </c>
      <c r="B131" s="3" t="s">
        <v>348</v>
      </c>
      <c r="C131" s="2">
        <v>60</v>
      </c>
      <c r="D131" s="2" t="s">
        <v>34</v>
      </c>
      <c r="E131" s="3" t="s">
        <v>69</v>
      </c>
      <c r="F131" s="4">
        <v>45035</v>
      </c>
      <c r="G131" s="3" t="s">
        <v>17</v>
      </c>
      <c r="H131" s="3" t="s">
        <v>23</v>
      </c>
      <c r="I131" s="3" t="s">
        <v>192</v>
      </c>
      <c r="J131" s="3" t="s">
        <v>148</v>
      </c>
      <c r="K131" s="5">
        <v>1150</v>
      </c>
      <c r="L131" s="5">
        <v>480</v>
      </c>
    </row>
    <row r="132" spans="1:12" ht="18" customHeight="1" x14ac:dyDescent="0.35">
      <c r="A132" s="6" t="s">
        <v>349</v>
      </c>
      <c r="B132" s="7" t="s">
        <v>350</v>
      </c>
      <c r="C132" s="6">
        <v>61</v>
      </c>
      <c r="D132" s="6" t="s">
        <v>15</v>
      </c>
      <c r="E132" s="7" t="s">
        <v>35</v>
      </c>
      <c r="F132" s="8">
        <v>45282</v>
      </c>
      <c r="G132" s="7" t="s">
        <v>17</v>
      </c>
      <c r="H132" s="7" t="s">
        <v>18</v>
      </c>
      <c r="I132" s="7" t="s">
        <v>147</v>
      </c>
      <c r="J132" s="7" t="s">
        <v>226</v>
      </c>
      <c r="K132" s="9">
        <v>900</v>
      </c>
      <c r="L132" s="9">
        <v>410</v>
      </c>
    </row>
    <row r="133" spans="1:12" ht="18" customHeight="1" x14ac:dyDescent="0.35">
      <c r="A133" s="2" t="s">
        <v>351</v>
      </c>
      <c r="B133" s="3" t="s">
        <v>352</v>
      </c>
      <c r="C133" s="2">
        <v>13</v>
      </c>
      <c r="D133" s="2" t="s">
        <v>34</v>
      </c>
      <c r="E133" s="3" t="s">
        <v>27</v>
      </c>
      <c r="F133" s="4">
        <v>45204</v>
      </c>
      <c r="G133" s="3" t="s">
        <v>17</v>
      </c>
      <c r="H133" s="3" t="s">
        <v>23</v>
      </c>
      <c r="I133" s="3" t="s">
        <v>154</v>
      </c>
      <c r="J133" s="3" t="s">
        <v>24</v>
      </c>
      <c r="K133" s="5">
        <v>1150</v>
      </c>
      <c r="L133" s="5">
        <v>360</v>
      </c>
    </row>
    <row r="134" spans="1:12" ht="18" customHeight="1" x14ac:dyDescent="0.35">
      <c r="A134" s="6" t="s">
        <v>353</v>
      </c>
      <c r="B134" s="7" t="s">
        <v>354</v>
      </c>
      <c r="C134" s="6">
        <v>35</v>
      </c>
      <c r="D134" s="6" t="s">
        <v>34</v>
      </c>
      <c r="E134" s="7" t="s">
        <v>16</v>
      </c>
      <c r="F134" s="8">
        <v>45062</v>
      </c>
      <c r="G134" s="7" t="s">
        <v>36</v>
      </c>
      <c r="H134" s="7" t="s">
        <v>37</v>
      </c>
      <c r="I134" s="7" t="s">
        <v>144</v>
      </c>
      <c r="J134" s="7" t="s">
        <v>77</v>
      </c>
      <c r="K134" s="9">
        <v>800</v>
      </c>
      <c r="L134" s="9">
        <v>530</v>
      </c>
    </row>
    <row r="135" spans="1:12" ht="18" customHeight="1" x14ac:dyDescent="0.35">
      <c r="A135" s="2" t="s">
        <v>355</v>
      </c>
      <c r="B135" s="3" t="s">
        <v>356</v>
      </c>
      <c r="C135" s="2">
        <v>28</v>
      </c>
      <c r="D135" s="2" t="s">
        <v>15</v>
      </c>
      <c r="E135" s="3" t="s">
        <v>27</v>
      </c>
      <c r="F135" s="4">
        <v>45617</v>
      </c>
      <c r="G135" s="3" t="s">
        <v>17</v>
      </c>
      <c r="H135" s="3" t="s">
        <v>18</v>
      </c>
      <c r="I135" s="3" t="s">
        <v>192</v>
      </c>
      <c r="J135" s="3" t="s">
        <v>148</v>
      </c>
      <c r="K135" s="5">
        <v>800</v>
      </c>
      <c r="L135" s="5">
        <v>750</v>
      </c>
    </row>
    <row r="136" spans="1:12" ht="18" customHeight="1" x14ac:dyDescent="0.35">
      <c r="A136" s="6" t="s">
        <v>357</v>
      </c>
      <c r="B136" s="7" t="s">
        <v>358</v>
      </c>
      <c r="C136" s="6">
        <v>77</v>
      </c>
      <c r="D136" s="6" t="s">
        <v>15</v>
      </c>
      <c r="E136" s="7" t="s">
        <v>16</v>
      </c>
      <c r="F136" s="8">
        <v>45639</v>
      </c>
      <c r="G136" s="7" t="s">
        <v>28</v>
      </c>
      <c r="H136" s="7" t="s">
        <v>29</v>
      </c>
      <c r="I136" s="7" t="s">
        <v>60</v>
      </c>
      <c r="J136" s="7" t="s">
        <v>111</v>
      </c>
      <c r="K136" s="9">
        <v>400</v>
      </c>
      <c r="L136" s="9">
        <v>270</v>
      </c>
    </row>
    <row r="137" spans="1:12" ht="18" customHeight="1" x14ac:dyDescent="0.35">
      <c r="A137" s="2" t="s">
        <v>359</v>
      </c>
      <c r="B137" s="3" t="s">
        <v>360</v>
      </c>
      <c r="C137" s="2">
        <v>57</v>
      </c>
      <c r="D137" s="2" t="s">
        <v>15</v>
      </c>
      <c r="E137" s="3" t="s">
        <v>16</v>
      </c>
      <c r="F137" s="4">
        <v>45058</v>
      </c>
      <c r="G137" s="3" t="s">
        <v>36</v>
      </c>
      <c r="H137" s="3" t="s">
        <v>75</v>
      </c>
      <c r="I137" s="3" t="s">
        <v>144</v>
      </c>
      <c r="J137" s="3" t="s">
        <v>77</v>
      </c>
      <c r="K137" s="5">
        <v>700</v>
      </c>
      <c r="L137" s="5">
        <v>410</v>
      </c>
    </row>
    <row r="138" spans="1:12" ht="18" customHeight="1" x14ac:dyDescent="0.35">
      <c r="A138" s="6" t="s">
        <v>361</v>
      </c>
      <c r="B138" s="7" t="s">
        <v>362</v>
      </c>
      <c r="C138" s="6">
        <v>59</v>
      </c>
      <c r="D138" s="6" t="s">
        <v>15</v>
      </c>
      <c r="E138" s="7" t="s">
        <v>69</v>
      </c>
      <c r="F138" s="8">
        <v>45547</v>
      </c>
      <c r="G138" s="7" t="s">
        <v>17</v>
      </c>
      <c r="H138" s="7" t="s">
        <v>18</v>
      </c>
      <c r="I138" s="7" t="s">
        <v>192</v>
      </c>
      <c r="J138" s="7" t="s">
        <v>66</v>
      </c>
      <c r="K138" s="9">
        <v>700</v>
      </c>
      <c r="L138" s="9">
        <v>880</v>
      </c>
    </row>
    <row r="139" spans="1:12" ht="18" customHeight="1" x14ac:dyDescent="0.35">
      <c r="A139" s="2" t="s">
        <v>363</v>
      </c>
      <c r="B139" s="3" t="s">
        <v>364</v>
      </c>
      <c r="C139" s="2">
        <v>55</v>
      </c>
      <c r="D139" s="2" t="s">
        <v>34</v>
      </c>
      <c r="E139" s="3" t="s">
        <v>69</v>
      </c>
      <c r="F139" s="4">
        <v>44969</v>
      </c>
      <c r="G139" s="3" t="s">
        <v>42</v>
      </c>
      <c r="H139" s="3" t="s">
        <v>70</v>
      </c>
      <c r="I139" s="3" t="s">
        <v>71</v>
      </c>
      <c r="J139" s="3" t="s">
        <v>129</v>
      </c>
      <c r="K139" s="5">
        <v>350</v>
      </c>
      <c r="L139" s="5">
        <v>240</v>
      </c>
    </row>
    <row r="140" spans="1:12" ht="18" customHeight="1" x14ac:dyDescent="0.35">
      <c r="A140" s="6" t="s">
        <v>365</v>
      </c>
      <c r="B140" s="7" t="s">
        <v>366</v>
      </c>
      <c r="C140" s="6">
        <v>19</v>
      </c>
      <c r="D140" s="6" t="s">
        <v>15</v>
      </c>
      <c r="E140" s="7" t="s">
        <v>80</v>
      </c>
      <c r="F140" s="8">
        <v>45419</v>
      </c>
      <c r="G140" s="7" t="s">
        <v>17</v>
      </c>
      <c r="H140" s="7" t="s">
        <v>18</v>
      </c>
      <c r="I140" s="7" t="s">
        <v>65</v>
      </c>
      <c r="J140" s="7" t="s">
        <v>148</v>
      </c>
      <c r="K140" s="9">
        <v>1150</v>
      </c>
      <c r="L140" s="9">
        <v>650</v>
      </c>
    </row>
    <row r="141" spans="1:12" ht="18" customHeight="1" x14ac:dyDescent="0.35">
      <c r="A141" s="2" t="s">
        <v>367</v>
      </c>
      <c r="B141" s="3" t="s">
        <v>368</v>
      </c>
      <c r="C141" s="2">
        <v>10</v>
      </c>
      <c r="D141" s="2" t="s">
        <v>15</v>
      </c>
      <c r="E141" s="3" t="s">
        <v>16</v>
      </c>
      <c r="F141" s="4">
        <v>45370</v>
      </c>
      <c r="G141" s="3" t="s">
        <v>28</v>
      </c>
      <c r="H141" s="3" t="s">
        <v>122</v>
      </c>
      <c r="I141" s="3" t="s">
        <v>174</v>
      </c>
      <c r="J141" s="3" t="s">
        <v>61</v>
      </c>
      <c r="K141" s="5">
        <v>450</v>
      </c>
      <c r="L141" s="5">
        <v>100</v>
      </c>
    </row>
    <row r="142" spans="1:12" ht="18" customHeight="1" x14ac:dyDescent="0.35">
      <c r="A142" s="6" t="s">
        <v>369</v>
      </c>
      <c r="B142" s="7" t="s">
        <v>370</v>
      </c>
      <c r="C142" s="6">
        <v>25</v>
      </c>
      <c r="D142" s="6" t="s">
        <v>34</v>
      </c>
      <c r="E142" s="7" t="s">
        <v>35</v>
      </c>
      <c r="F142" s="8">
        <v>45377</v>
      </c>
      <c r="G142" s="7" t="s">
        <v>28</v>
      </c>
      <c r="H142" s="7" t="s">
        <v>29</v>
      </c>
      <c r="I142" s="7" t="s">
        <v>60</v>
      </c>
      <c r="J142" s="7" t="s">
        <v>371</v>
      </c>
      <c r="K142" s="9">
        <v>700</v>
      </c>
      <c r="L142" s="9">
        <v>270</v>
      </c>
    </row>
    <row r="143" spans="1:12" ht="18" customHeight="1" x14ac:dyDescent="0.35">
      <c r="A143" s="2" t="s">
        <v>372</v>
      </c>
      <c r="B143" s="3" t="s">
        <v>373</v>
      </c>
      <c r="C143" s="2">
        <v>10</v>
      </c>
      <c r="D143" s="2" t="s">
        <v>34</v>
      </c>
      <c r="E143" s="3" t="s">
        <v>16</v>
      </c>
      <c r="F143" s="4">
        <v>45262</v>
      </c>
      <c r="G143" s="3" t="s">
        <v>36</v>
      </c>
      <c r="H143" s="3" t="s">
        <v>81</v>
      </c>
      <c r="I143" s="3" t="s">
        <v>144</v>
      </c>
      <c r="J143" s="3" t="s">
        <v>133</v>
      </c>
      <c r="K143" s="5">
        <v>850</v>
      </c>
      <c r="L143" s="5">
        <v>260</v>
      </c>
    </row>
    <row r="144" spans="1:12" ht="18" customHeight="1" x14ac:dyDescent="0.35">
      <c r="A144" s="6" t="s">
        <v>374</v>
      </c>
      <c r="B144" s="7" t="s">
        <v>375</v>
      </c>
      <c r="C144" s="6">
        <v>65</v>
      </c>
      <c r="D144" s="6" t="s">
        <v>34</v>
      </c>
      <c r="E144" s="7" t="s">
        <v>35</v>
      </c>
      <c r="F144" s="8">
        <v>44941</v>
      </c>
      <c r="G144" s="7" t="s">
        <v>42</v>
      </c>
      <c r="H144" s="7" t="s">
        <v>89</v>
      </c>
      <c r="I144" s="7" t="s">
        <v>136</v>
      </c>
      <c r="J144" s="7" t="s">
        <v>86</v>
      </c>
      <c r="K144" s="9">
        <v>450</v>
      </c>
      <c r="L144" s="9">
        <v>210</v>
      </c>
    </row>
    <row r="145" spans="1:12" ht="18" customHeight="1" x14ac:dyDescent="0.35">
      <c r="A145" s="2" t="s">
        <v>376</v>
      </c>
      <c r="B145" s="3" t="s">
        <v>377</v>
      </c>
      <c r="C145" s="2">
        <v>5</v>
      </c>
      <c r="D145" s="2" t="s">
        <v>15</v>
      </c>
      <c r="E145" s="3" t="s">
        <v>80</v>
      </c>
      <c r="F145" s="4">
        <v>45374</v>
      </c>
      <c r="G145" s="3" t="s">
        <v>48</v>
      </c>
      <c r="H145" s="3" t="s">
        <v>54</v>
      </c>
      <c r="I145" s="3" t="s">
        <v>55</v>
      </c>
      <c r="J145" s="3" t="s">
        <v>51</v>
      </c>
      <c r="K145" s="5">
        <v>750</v>
      </c>
      <c r="L145" s="5">
        <v>490</v>
      </c>
    </row>
    <row r="146" spans="1:12" ht="18" customHeight="1" x14ac:dyDescent="0.35">
      <c r="A146" s="6" t="s">
        <v>378</v>
      </c>
      <c r="B146" s="7" t="s">
        <v>379</v>
      </c>
      <c r="C146" s="6">
        <v>19</v>
      </c>
      <c r="D146" s="6" t="s">
        <v>15</v>
      </c>
      <c r="E146" s="7" t="s">
        <v>80</v>
      </c>
      <c r="F146" s="8">
        <v>45394</v>
      </c>
      <c r="G146" s="7" t="s">
        <v>17</v>
      </c>
      <c r="H146" s="7" t="s">
        <v>64</v>
      </c>
      <c r="I146" s="7" t="s">
        <v>65</v>
      </c>
      <c r="J146" s="7" t="s">
        <v>148</v>
      </c>
      <c r="K146" s="9">
        <v>700</v>
      </c>
      <c r="L146" s="9">
        <v>830</v>
      </c>
    </row>
    <row r="147" spans="1:12" ht="18" customHeight="1" x14ac:dyDescent="0.35">
      <c r="A147" s="2" t="s">
        <v>380</v>
      </c>
      <c r="B147" s="3" t="s">
        <v>381</v>
      </c>
      <c r="C147" s="2">
        <v>26</v>
      </c>
      <c r="D147" s="2" t="s">
        <v>15</v>
      </c>
      <c r="E147" s="3" t="s">
        <v>27</v>
      </c>
      <c r="F147" s="4">
        <v>45468</v>
      </c>
      <c r="G147" s="3" t="s">
        <v>17</v>
      </c>
      <c r="H147" s="3" t="s">
        <v>64</v>
      </c>
      <c r="I147" s="3" t="s">
        <v>154</v>
      </c>
      <c r="J147" s="3" t="s">
        <v>148</v>
      </c>
      <c r="K147" s="5">
        <v>800</v>
      </c>
      <c r="L147" s="5">
        <v>530</v>
      </c>
    </row>
    <row r="148" spans="1:12" ht="18" customHeight="1" x14ac:dyDescent="0.35">
      <c r="A148" s="6" t="s">
        <v>382</v>
      </c>
      <c r="B148" s="7" t="s">
        <v>383</v>
      </c>
      <c r="C148" s="6">
        <v>48</v>
      </c>
      <c r="D148" s="6" t="s">
        <v>34</v>
      </c>
      <c r="E148" s="7" t="s">
        <v>80</v>
      </c>
      <c r="F148" s="8">
        <v>45250</v>
      </c>
      <c r="G148" s="7" t="s">
        <v>36</v>
      </c>
      <c r="H148" s="7" t="s">
        <v>37</v>
      </c>
      <c r="I148" s="7" t="s">
        <v>38</v>
      </c>
      <c r="J148" s="7" t="s">
        <v>82</v>
      </c>
      <c r="K148" s="9">
        <v>850</v>
      </c>
      <c r="L148" s="9">
        <v>350</v>
      </c>
    </row>
    <row r="149" spans="1:12" ht="18" customHeight="1" x14ac:dyDescent="0.35">
      <c r="A149" s="2" t="s">
        <v>384</v>
      </c>
      <c r="B149" s="3" t="s">
        <v>385</v>
      </c>
      <c r="C149" s="2">
        <v>67</v>
      </c>
      <c r="D149" s="2" t="s">
        <v>15</v>
      </c>
      <c r="E149" s="3" t="s">
        <v>35</v>
      </c>
      <c r="F149" s="4">
        <v>45522</v>
      </c>
      <c r="G149" s="3" t="s">
        <v>17</v>
      </c>
      <c r="H149" s="3" t="s">
        <v>23</v>
      </c>
      <c r="I149" s="3" t="s">
        <v>154</v>
      </c>
      <c r="J149" s="3" t="s">
        <v>66</v>
      </c>
      <c r="K149" s="5">
        <v>1150</v>
      </c>
      <c r="L149" s="5">
        <v>530</v>
      </c>
    </row>
    <row r="150" spans="1:12" ht="18" customHeight="1" x14ac:dyDescent="0.35">
      <c r="A150" s="6" t="s">
        <v>386</v>
      </c>
      <c r="B150" s="7" t="s">
        <v>387</v>
      </c>
      <c r="C150" s="6">
        <v>59</v>
      </c>
      <c r="D150" s="6" t="s">
        <v>34</v>
      </c>
      <c r="E150" s="7" t="s">
        <v>80</v>
      </c>
      <c r="F150" s="8">
        <v>45135</v>
      </c>
      <c r="G150" s="7" t="s">
        <v>48</v>
      </c>
      <c r="H150" s="7" t="s">
        <v>49</v>
      </c>
      <c r="I150" s="7" t="s">
        <v>50</v>
      </c>
      <c r="J150" s="7" t="s">
        <v>51</v>
      </c>
      <c r="K150" s="9">
        <v>600</v>
      </c>
      <c r="L150" s="9">
        <v>360</v>
      </c>
    </row>
    <row r="151" spans="1:12" ht="18" customHeight="1" x14ac:dyDescent="0.35">
      <c r="A151" s="2" t="s">
        <v>388</v>
      </c>
      <c r="B151" s="3" t="s">
        <v>389</v>
      </c>
      <c r="C151" s="2">
        <v>69</v>
      </c>
      <c r="D151" s="2" t="s">
        <v>15</v>
      </c>
      <c r="E151" s="3" t="s">
        <v>35</v>
      </c>
      <c r="F151" s="4">
        <v>45487</v>
      </c>
      <c r="G151" s="3" t="s">
        <v>48</v>
      </c>
      <c r="H151" s="3" t="s">
        <v>54</v>
      </c>
      <c r="I151" s="3" t="s">
        <v>94</v>
      </c>
      <c r="J151" s="3" t="s">
        <v>95</v>
      </c>
      <c r="K151" s="5">
        <v>600</v>
      </c>
      <c r="L151" s="5">
        <v>220</v>
      </c>
    </row>
    <row r="152" spans="1:12" ht="18" customHeight="1" x14ac:dyDescent="0.35">
      <c r="A152" s="6" t="s">
        <v>390</v>
      </c>
      <c r="B152" s="7" t="s">
        <v>391</v>
      </c>
      <c r="C152" s="6">
        <v>52</v>
      </c>
      <c r="D152" s="6" t="s">
        <v>15</v>
      </c>
      <c r="E152" s="7" t="s">
        <v>80</v>
      </c>
      <c r="F152" s="8">
        <v>45631</v>
      </c>
      <c r="G152" s="7" t="s">
        <v>17</v>
      </c>
      <c r="H152" s="7" t="s">
        <v>18</v>
      </c>
      <c r="I152" s="7" t="s">
        <v>65</v>
      </c>
      <c r="J152" s="7" t="s">
        <v>20</v>
      </c>
      <c r="K152" s="9">
        <v>950</v>
      </c>
      <c r="L152" s="9">
        <v>600</v>
      </c>
    </row>
    <row r="153" spans="1:12" ht="18" customHeight="1" x14ac:dyDescent="0.35">
      <c r="A153" s="2" t="s">
        <v>392</v>
      </c>
      <c r="B153" s="3" t="s">
        <v>393</v>
      </c>
      <c r="C153" s="2">
        <v>80</v>
      </c>
      <c r="D153" s="2" t="s">
        <v>15</v>
      </c>
      <c r="E153" s="3" t="s">
        <v>27</v>
      </c>
      <c r="F153" s="4">
        <v>45278</v>
      </c>
      <c r="G153" s="3" t="s">
        <v>28</v>
      </c>
      <c r="H153" s="3" t="s">
        <v>59</v>
      </c>
      <c r="I153" s="3" t="s">
        <v>174</v>
      </c>
      <c r="J153" s="3" t="s">
        <v>371</v>
      </c>
      <c r="K153" s="5">
        <v>450</v>
      </c>
      <c r="L153" s="5">
        <v>220</v>
      </c>
    </row>
    <row r="154" spans="1:12" ht="18" customHeight="1" x14ac:dyDescent="0.35">
      <c r="A154" s="6" t="s">
        <v>394</v>
      </c>
      <c r="B154" s="7" t="s">
        <v>395</v>
      </c>
      <c r="C154" s="6">
        <v>74</v>
      </c>
      <c r="D154" s="6" t="s">
        <v>34</v>
      </c>
      <c r="E154" s="7" t="s">
        <v>35</v>
      </c>
      <c r="F154" s="8">
        <v>45058</v>
      </c>
      <c r="G154" s="7" t="s">
        <v>42</v>
      </c>
      <c r="H154" s="7" t="s">
        <v>43</v>
      </c>
      <c r="I154" s="7" t="s">
        <v>136</v>
      </c>
      <c r="J154" s="7" t="s">
        <v>45</v>
      </c>
      <c r="K154" s="9">
        <v>350</v>
      </c>
      <c r="L154" s="9">
        <v>310</v>
      </c>
    </row>
    <row r="155" spans="1:12" ht="18" customHeight="1" x14ac:dyDescent="0.35">
      <c r="A155" s="2" t="s">
        <v>396</v>
      </c>
      <c r="B155" s="3" t="s">
        <v>397</v>
      </c>
      <c r="C155" s="2">
        <v>44</v>
      </c>
      <c r="D155" s="2" t="s">
        <v>15</v>
      </c>
      <c r="E155" s="3" t="s">
        <v>107</v>
      </c>
      <c r="F155" s="4">
        <v>45175</v>
      </c>
      <c r="G155" s="3" t="s">
        <v>36</v>
      </c>
      <c r="H155" s="3" t="s">
        <v>81</v>
      </c>
      <c r="I155" s="3" t="s">
        <v>144</v>
      </c>
      <c r="J155" s="3" t="s">
        <v>82</v>
      </c>
      <c r="K155" s="5">
        <v>750</v>
      </c>
      <c r="L155" s="5">
        <v>350</v>
      </c>
    </row>
    <row r="156" spans="1:12" ht="18" customHeight="1" x14ac:dyDescent="0.35">
      <c r="A156" s="6" t="s">
        <v>398</v>
      </c>
      <c r="B156" s="7" t="s">
        <v>399</v>
      </c>
      <c r="C156" s="6">
        <v>11</v>
      </c>
      <c r="D156" s="6" t="s">
        <v>15</v>
      </c>
      <c r="E156" s="7" t="s">
        <v>35</v>
      </c>
      <c r="F156" s="8">
        <v>44936</v>
      </c>
      <c r="G156" s="7" t="s">
        <v>42</v>
      </c>
      <c r="H156" s="7" t="s">
        <v>89</v>
      </c>
      <c r="I156" s="7" t="s">
        <v>44</v>
      </c>
      <c r="J156" s="7" t="s">
        <v>129</v>
      </c>
      <c r="K156" s="9">
        <v>350</v>
      </c>
      <c r="L156" s="9">
        <v>160</v>
      </c>
    </row>
    <row r="157" spans="1:12" ht="18" customHeight="1" x14ac:dyDescent="0.35">
      <c r="A157" s="2" t="s">
        <v>400</v>
      </c>
      <c r="B157" s="3" t="s">
        <v>401</v>
      </c>
      <c r="C157" s="2">
        <v>27</v>
      </c>
      <c r="D157" s="2" t="s">
        <v>34</v>
      </c>
      <c r="E157" s="3" t="s">
        <v>35</v>
      </c>
      <c r="F157" s="4">
        <v>45328</v>
      </c>
      <c r="G157" s="3" t="s">
        <v>28</v>
      </c>
      <c r="H157" s="3" t="s">
        <v>29</v>
      </c>
      <c r="I157" s="3" t="s">
        <v>123</v>
      </c>
      <c r="J157" s="3" t="s">
        <v>61</v>
      </c>
      <c r="K157" s="5">
        <v>500</v>
      </c>
      <c r="L157" s="5">
        <v>200</v>
      </c>
    </row>
    <row r="158" spans="1:12" ht="18" customHeight="1" x14ac:dyDescent="0.35">
      <c r="A158" s="6" t="s">
        <v>402</v>
      </c>
      <c r="B158" s="7" t="s">
        <v>403</v>
      </c>
      <c r="C158" s="6">
        <v>40</v>
      </c>
      <c r="D158" s="6" t="s">
        <v>15</v>
      </c>
      <c r="E158" s="7" t="s">
        <v>35</v>
      </c>
      <c r="F158" s="8">
        <v>45480</v>
      </c>
      <c r="G158" s="7" t="s">
        <v>42</v>
      </c>
      <c r="H158" s="7" t="s">
        <v>89</v>
      </c>
      <c r="I158" s="7" t="s">
        <v>71</v>
      </c>
      <c r="J158" s="7" t="s">
        <v>90</v>
      </c>
      <c r="K158" s="9">
        <v>450</v>
      </c>
      <c r="L158" s="9">
        <v>160</v>
      </c>
    </row>
    <row r="159" spans="1:12" ht="18" customHeight="1" x14ac:dyDescent="0.35">
      <c r="A159" s="2" t="s">
        <v>404</v>
      </c>
      <c r="B159" s="3" t="s">
        <v>405</v>
      </c>
      <c r="C159" s="2">
        <v>49</v>
      </c>
      <c r="D159" s="2" t="s">
        <v>15</v>
      </c>
      <c r="E159" s="3" t="s">
        <v>69</v>
      </c>
      <c r="F159" s="4">
        <v>45159</v>
      </c>
      <c r="G159" s="3" t="s">
        <v>28</v>
      </c>
      <c r="H159" s="3" t="s">
        <v>29</v>
      </c>
      <c r="I159" s="3" t="s">
        <v>60</v>
      </c>
      <c r="J159" s="3" t="s">
        <v>31</v>
      </c>
      <c r="K159" s="5">
        <v>650</v>
      </c>
      <c r="L159" s="5">
        <v>200</v>
      </c>
    </row>
    <row r="160" spans="1:12" ht="18" customHeight="1" x14ac:dyDescent="0.35">
      <c r="A160" s="6" t="s">
        <v>406</v>
      </c>
      <c r="B160" s="7" t="s">
        <v>407</v>
      </c>
      <c r="C160" s="6">
        <v>38</v>
      </c>
      <c r="D160" s="6" t="s">
        <v>34</v>
      </c>
      <c r="E160" s="7" t="s">
        <v>16</v>
      </c>
      <c r="F160" s="8">
        <v>45343</v>
      </c>
      <c r="G160" s="7" t="s">
        <v>36</v>
      </c>
      <c r="H160" s="7" t="s">
        <v>81</v>
      </c>
      <c r="I160" s="7" t="s">
        <v>144</v>
      </c>
      <c r="J160" s="7" t="s">
        <v>133</v>
      </c>
      <c r="K160" s="9">
        <v>700</v>
      </c>
      <c r="L160" s="9">
        <v>440</v>
      </c>
    </row>
    <row r="161" spans="1:12" ht="18" customHeight="1" x14ac:dyDescent="0.35">
      <c r="A161" s="2" t="s">
        <v>408</v>
      </c>
      <c r="B161" s="3" t="s">
        <v>409</v>
      </c>
      <c r="C161" s="2">
        <v>37</v>
      </c>
      <c r="D161" s="2" t="s">
        <v>34</v>
      </c>
      <c r="E161" s="3" t="s">
        <v>80</v>
      </c>
      <c r="F161" s="4">
        <v>45141</v>
      </c>
      <c r="G161" s="3" t="s">
        <v>28</v>
      </c>
      <c r="H161" s="3" t="s">
        <v>29</v>
      </c>
      <c r="I161" s="3" t="s">
        <v>110</v>
      </c>
      <c r="J161" s="3" t="s">
        <v>298</v>
      </c>
      <c r="K161" s="5">
        <v>500</v>
      </c>
      <c r="L161" s="5">
        <v>110</v>
      </c>
    </row>
    <row r="162" spans="1:12" ht="18" customHeight="1" x14ac:dyDescent="0.35">
      <c r="A162" s="6" t="s">
        <v>410</v>
      </c>
      <c r="B162" s="7" t="s">
        <v>411</v>
      </c>
      <c r="C162" s="6">
        <v>45</v>
      </c>
      <c r="D162" s="6" t="s">
        <v>34</v>
      </c>
      <c r="E162" s="7" t="s">
        <v>80</v>
      </c>
      <c r="F162" s="8">
        <v>45057</v>
      </c>
      <c r="G162" s="7" t="s">
        <v>17</v>
      </c>
      <c r="H162" s="7" t="s">
        <v>18</v>
      </c>
      <c r="I162" s="7" t="s">
        <v>147</v>
      </c>
      <c r="J162" s="7" t="s">
        <v>66</v>
      </c>
      <c r="K162" s="9">
        <v>1000</v>
      </c>
      <c r="L162" s="9">
        <v>480</v>
      </c>
    </row>
    <row r="163" spans="1:12" ht="18" customHeight="1" x14ac:dyDescent="0.35">
      <c r="A163" s="2" t="s">
        <v>412</v>
      </c>
      <c r="B163" s="3" t="s">
        <v>413</v>
      </c>
      <c r="C163" s="2">
        <v>59</v>
      </c>
      <c r="D163" s="2" t="s">
        <v>34</v>
      </c>
      <c r="E163" s="3" t="s">
        <v>69</v>
      </c>
      <c r="F163" s="4">
        <v>45525</v>
      </c>
      <c r="G163" s="3" t="s">
        <v>36</v>
      </c>
      <c r="H163" s="3" t="s">
        <v>81</v>
      </c>
      <c r="I163" s="3" t="s">
        <v>38</v>
      </c>
      <c r="J163" s="3" t="s">
        <v>77</v>
      </c>
      <c r="K163" s="5">
        <v>850</v>
      </c>
      <c r="L163" s="5">
        <v>350</v>
      </c>
    </row>
    <row r="164" spans="1:12" ht="18" customHeight="1" x14ac:dyDescent="0.35">
      <c r="A164" s="6" t="s">
        <v>414</v>
      </c>
      <c r="B164" s="7" t="s">
        <v>415</v>
      </c>
      <c r="C164" s="6">
        <v>74</v>
      </c>
      <c r="D164" s="6" t="s">
        <v>34</v>
      </c>
      <c r="E164" s="7" t="s">
        <v>80</v>
      </c>
      <c r="F164" s="8">
        <v>45475</v>
      </c>
      <c r="G164" s="7" t="s">
        <v>17</v>
      </c>
      <c r="H164" s="7" t="s">
        <v>18</v>
      </c>
      <c r="I164" s="7" t="s">
        <v>192</v>
      </c>
      <c r="J164" s="7" t="s">
        <v>20</v>
      </c>
      <c r="K164" s="9">
        <v>850</v>
      </c>
      <c r="L164" s="9">
        <v>350</v>
      </c>
    </row>
    <row r="165" spans="1:12" ht="18" customHeight="1" x14ac:dyDescent="0.35">
      <c r="A165" s="2" t="s">
        <v>416</v>
      </c>
      <c r="B165" s="3" t="s">
        <v>417</v>
      </c>
      <c r="C165" s="2">
        <v>17</v>
      </c>
      <c r="D165" s="2" t="s">
        <v>15</v>
      </c>
      <c r="E165" s="3" t="s">
        <v>69</v>
      </c>
      <c r="F165" s="4">
        <v>45501</v>
      </c>
      <c r="G165" s="3" t="s">
        <v>36</v>
      </c>
      <c r="H165" s="3" t="s">
        <v>37</v>
      </c>
      <c r="I165" s="3" t="s">
        <v>76</v>
      </c>
      <c r="J165" s="3" t="s">
        <v>133</v>
      </c>
      <c r="K165" s="5">
        <v>650</v>
      </c>
      <c r="L165" s="5">
        <v>250</v>
      </c>
    </row>
    <row r="166" spans="1:12" ht="18" customHeight="1" x14ac:dyDescent="0.35">
      <c r="A166" s="6" t="s">
        <v>418</v>
      </c>
      <c r="B166" s="7" t="s">
        <v>419</v>
      </c>
      <c r="C166" s="6">
        <v>73</v>
      </c>
      <c r="D166" s="6" t="s">
        <v>15</v>
      </c>
      <c r="E166" s="7" t="s">
        <v>35</v>
      </c>
      <c r="F166" s="8">
        <v>45163</v>
      </c>
      <c r="G166" s="7" t="s">
        <v>17</v>
      </c>
      <c r="H166" s="7" t="s">
        <v>23</v>
      </c>
      <c r="I166" s="7" t="s">
        <v>147</v>
      </c>
      <c r="J166" s="7" t="s">
        <v>20</v>
      </c>
      <c r="K166" s="9">
        <v>850</v>
      </c>
      <c r="L166" s="9">
        <v>730</v>
      </c>
    </row>
    <row r="167" spans="1:12" ht="18" customHeight="1" x14ac:dyDescent="0.35">
      <c r="A167" s="2" t="s">
        <v>420</v>
      </c>
      <c r="B167" s="3" t="s">
        <v>421</v>
      </c>
      <c r="C167" s="2">
        <v>10</v>
      </c>
      <c r="D167" s="2" t="s">
        <v>15</v>
      </c>
      <c r="E167" s="3" t="s">
        <v>27</v>
      </c>
      <c r="F167" s="4">
        <v>45226</v>
      </c>
      <c r="G167" s="3" t="s">
        <v>48</v>
      </c>
      <c r="H167" s="3" t="s">
        <v>93</v>
      </c>
      <c r="I167" s="3" t="s">
        <v>257</v>
      </c>
      <c r="J167" s="3" t="s">
        <v>141</v>
      </c>
      <c r="K167" s="5">
        <v>800</v>
      </c>
      <c r="L167" s="5">
        <v>460</v>
      </c>
    </row>
    <row r="168" spans="1:12" ht="18" customHeight="1" x14ac:dyDescent="0.35">
      <c r="A168" s="6" t="s">
        <v>422</v>
      </c>
      <c r="B168" s="7" t="s">
        <v>423</v>
      </c>
      <c r="C168" s="6">
        <v>73</v>
      </c>
      <c r="D168" s="6" t="s">
        <v>34</v>
      </c>
      <c r="E168" s="7" t="s">
        <v>107</v>
      </c>
      <c r="F168" s="8">
        <v>45039</v>
      </c>
      <c r="G168" s="7" t="s">
        <v>17</v>
      </c>
      <c r="H168" s="7" t="s">
        <v>18</v>
      </c>
      <c r="I168" s="7" t="s">
        <v>154</v>
      </c>
      <c r="J168" s="7" t="s">
        <v>20</v>
      </c>
      <c r="K168" s="9">
        <v>850</v>
      </c>
      <c r="L168" s="9">
        <v>670</v>
      </c>
    </row>
    <row r="169" spans="1:12" ht="18" customHeight="1" x14ac:dyDescent="0.35">
      <c r="A169" s="2" t="s">
        <v>424</v>
      </c>
      <c r="B169" s="3" t="s">
        <v>425</v>
      </c>
      <c r="C169" s="2">
        <v>21</v>
      </c>
      <c r="D169" s="2" t="s">
        <v>34</v>
      </c>
      <c r="E169" s="3" t="s">
        <v>16</v>
      </c>
      <c r="F169" s="4">
        <v>44984</v>
      </c>
      <c r="G169" s="3" t="s">
        <v>17</v>
      </c>
      <c r="H169" s="3" t="s">
        <v>64</v>
      </c>
      <c r="I169" s="3" t="s">
        <v>154</v>
      </c>
      <c r="J169" s="3" t="s">
        <v>226</v>
      </c>
      <c r="K169" s="5">
        <v>1000</v>
      </c>
      <c r="L169" s="5">
        <v>680</v>
      </c>
    </row>
    <row r="170" spans="1:12" ht="18" customHeight="1" x14ac:dyDescent="0.35">
      <c r="A170" s="6" t="s">
        <v>426</v>
      </c>
      <c r="B170" s="7" t="s">
        <v>427</v>
      </c>
      <c r="C170" s="6">
        <v>40</v>
      </c>
      <c r="D170" s="6" t="s">
        <v>15</v>
      </c>
      <c r="E170" s="7" t="s">
        <v>107</v>
      </c>
      <c r="F170" s="8">
        <v>45616</v>
      </c>
      <c r="G170" s="7" t="s">
        <v>42</v>
      </c>
      <c r="H170" s="7" t="s">
        <v>43</v>
      </c>
      <c r="I170" s="7" t="s">
        <v>71</v>
      </c>
      <c r="J170" s="7" t="s">
        <v>119</v>
      </c>
      <c r="K170" s="9">
        <v>400</v>
      </c>
      <c r="L170" s="9">
        <v>250</v>
      </c>
    </row>
    <row r="171" spans="1:12" ht="18" customHeight="1" x14ac:dyDescent="0.35">
      <c r="A171" s="2" t="s">
        <v>428</v>
      </c>
      <c r="B171" s="3" t="s">
        <v>429</v>
      </c>
      <c r="C171" s="2">
        <v>22</v>
      </c>
      <c r="D171" s="2" t="s">
        <v>34</v>
      </c>
      <c r="E171" s="3" t="s">
        <v>69</v>
      </c>
      <c r="F171" s="4">
        <v>44940</v>
      </c>
      <c r="G171" s="3" t="s">
        <v>42</v>
      </c>
      <c r="H171" s="3" t="s">
        <v>43</v>
      </c>
      <c r="I171" s="3" t="s">
        <v>110</v>
      </c>
      <c r="J171" s="3" t="s">
        <v>129</v>
      </c>
      <c r="K171" s="5">
        <v>400</v>
      </c>
      <c r="L171" s="5">
        <v>360</v>
      </c>
    </row>
    <row r="172" spans="1:12" ht="18" customHeight="1" x14ac:dyDescent="0.35">
      <c r="A172" s="6" t="s">
        <v>430</v>
      </c>
      <c r="B172" s="7" t="s">
        <v>431</v>
      </c>
      <c r="C172" s="6">
        <v>33</v>
      </c>
      <c r="D172" s="6" t="s">
        <v>34</v>
      </c>
      <c r="E172" s="7" t="s">
        <v>27</v>
      </c>
      <c r="F172" s="8">
        <v>45643</v>
      </c>
      <c r="G172" s="7" t="s">
        <v>17</v>
      </c>
      <c r="H172" s="7" t="s">
        <v>23</v>
      </c>
      <c r="I172" s="7" t="s">
        <v>65</v>
      </c>
      <c r="J172" s="7" t="s">
        <v>24</v>
      </c>
      <c r="K172" s="9">
        <v>1100</v>
      </c>
      <c r="L172" s="9">
        <v>500</v>
      </c>
    </row>
    <row r="173" spans="1:12" ht="18" customHeight="1" x14ac:dyDescent="0.35">
      <c r="A173" s="2" t="s">
        <v>432</v>
      </c>
      <c r="B173" s="3" t="s">
        <v>433</v>
      </c>
      <c r="C173" s="2">
        <v>50</v>
      </c>
      <c r="D173" s="2" t="s">
        <v>15</v>
      </c>
      <c r="E173" s="3" t="s">
        <v>27</v>
      </c>
      <c r="F173" s="4">
        <v>45113</v>
      </c>
      <c r="G173" s="3" t="s">
        <v>36</v>
      </c>
      <c r="H173" s="3" t="s">
        <v>81</v>
      </c>
      <c r="I173" s="3" t="s">
        <v>144</v>
      </c>
      <c r="J173" s="3" t="s">
        <v>189</v>
      </c>
      <c r="K173" s="5">
        <v>950</v>
      </c>
      <c r="L173" s="5">
        <v>680</v>
      </c>
    </row>
    <row r="174" spans="1:12" ht="18" customHeight="1" x14ac:dyDescent="0.35">
      <c r="A174" s="6" t="s">
        <v>434</v>
      </c>
      <c r="B174" s="7" t="s">
        <v>435</v>
      </c>
      <c r="C174" s="6">
        <v>30</v>
      </c>
      <c r="D174" s="6" t="s">
        <v>15</v>
      </c>
      <c r="E174" s="7" t="s">
        <v>69</v>
      </c>
      <c r="F174" s="8">
        <v>45317</v>
      </c>
      <c r="G174" s="7" t="s">
        <v>17</v>
      </c>
      <c r="H174" s="7" t="s">
        <v>18</v>
      </c>
      <c r="I174" s="7" t="s">
        <v>19</v>
      </c>
      <c r="J174" s="7" t="s">
        <v>148</v>
      </c>
      <c r="K174" s="9">
        <v>800</v>
      </c>
      <c r="L174" s="9">
        <v>420</v>
      </c>
    </row>
    <row r="175" spans="1:12" ht="18" customHeight="1" x14ac:dyDescent="0.35">
      <c r="A175" s="2" t="s">
        <v>436</v>
      </c>
      <c r="B175" s="3" t="s">
        <v>437</v>
      </c>
      <c r="C175" s="2">
        <v>59</v>
      </c>
      <c r="D175" s="2" t="s">
        <v>34</v>
      </c>
      <c r="E175" s="3" t="s">
        <v>16</v>
      </c>
      <c r="F175" s="4">
        <v>45370</v>
      </c>
      <c r="G175" s="3" t="s">
        <v>36</v>
      </c>
      <c r="H175" s="3" t="s">
        <v>81</v>
      </c>
      <c r="I175" s="3" t="s">
        <v>144</v>
      </c>
      <c r="J175" s="3" t="s">
        <v>133</v>
      </c>
      <c r="K175" s="5">
        <v>650</v>
      </c>
      <c r="L175" s="5">
        <v>230</v>
      </c>
    </row>
    <row r="176" spans="1:12" ht="18" customHeight="1" x14ac:dyDescent="0.35">
      <c r="A176" s="6" t="s">
        <v>438</v>
      </c>
      <c r="B176" s="7" t="s">
        <v>439</v>
      </c>
      <c r="C176" s="6">
        <v>5</v>
      </c>
      <c r="D176" s="6" t="s">
        <v>15</v>
      </c>
      <c r="E176" s="7" t="s">
        <v>27</v>
      </c>
      <c r="F176" s="8">
        <v>45587</v>
      </c>
      <c r="G176" s="7" t="s">
        <v>17</v>
      </c>
      <c r="H176" s="7" t="s">
        <v>23</v>
      </c>
      <c r="I176" s="7" t="s">
        <v>65</v>
      </c>
      <c r="J176" s="7" t="s">
        <v>148</v>
      </c>
      <c r="K176" s="9">
        <v>750</v>
      </c>
      <c r="L176" s="9">
        <v>310</v>
      </c>
    </row>
    <row r="177" spans="1:12" ht="18" customHeight="1" x14ac:dyDescent="0.35">
      <c r="A177" s="2" t="s">
        <v>440</v>
      </c>
      <c r="B177" s="3" t="s">
        <v>441</v>
      </c>
      <c r="C177" s="2">
        <v>21</v>
      </c>
      <c r="D177" s="2" t="s">
        <v>34</v>
      </c>
      <c r="E177" s="3" t="s">
        <v>107</v>
      </c>
      <c r="F177" s="4">
        <v>45518</v>
      </c>
      <c r="G177" s="3" t="s">
        <v>42</v>
      </c>
      <c r="H177" s="3" t="s">
        <v>43</v>
      </c>
      <c r="I177" s="3" t="s">
        <v>71</v>
      </c>
      <c r="J177" s="3" t="s">
        <v>72</v>
      </c>
      <c r="K177" s="5">
        <v>450</v>
      </c>
      <c r="L177" s="5">
        <v>330</v>
      </c>
    </row>
    <row r="178" spans="1:12" ht="18" customHeight="1" x14ac:dyDescent="0.35">
      <c r="A178" s="6" t="s">
        <v>442</v>
      </c>
      <c r="B178" s="7" t="s">
        <v>443</v>
      </c>
      <c r="C178" s="6">
        <v>11</v>
      </c>
      <c r="D178" s="6" t="s">
        <v>34</v>
      </c>
      <c r="E178" s="7" t="s">
        <v>27</v>
      </c>
      <c r="F178" s="8">
        <v>45005</v>
      </c>
      <c r="G178" s="7" t="s">
        <v>48</v>
      </c>
      <c r="H178" s="7" t="s">
        <v>93</v>
      </c>
      <c r="I178" s="7" t="s">
        <v>50</v>
      </c>
      <c r="J178" s="7" t="s">
        <v>114</v>
      </c>
      <c r="K178" s="9">
        <v>650</v>
      </c>
      <c r="L178" s="9">
        <v>420</v>
      </c>
    </row>
    <row r="179" spans="1:12" ht="18" customHeight="1" x14ac:dyDescent="0.35">
      <c r="A179" s="2" t="s">
        <v>444</v>
      </c>
      <c r="B179" s="3" t="s">
        <v>445</v>
      </c>
      <c r="C179" s="2">
        <v>50</v>
      </c>
      <c r="D179" s="2" t="s">
        <v>34</v>
      </c>
      <c r="E179" s="3" t="s">
        <v>35</v>
      </c>
      <c r="F179" s="4">
        <v>45232</v>
      </c>
      <c r="G179" s="3" t="s">
        <v>42</v>
      </c>
      <c r="H179" s="3" t="s">
        <v>43</v>
      </c>
      <c r="I179" s="3" t="s">
        <v>44</v>
      </c>
      <c r="J179" s="3" t="s">
        <v>45</v>
      </c>
      <c r="K179" s="5">
        <v>400</v>
      </c>
      <c r="L179" s="5">
        <v>100</v>
      </c>
    </row>
    <row r="180" spans="1:12" ht="18" customHeight="1" x14ac:dyDescent="0.35">
      <c r="A180" s="6" t="s">
        <v>446</v>
      </c>
      <c r="B180" s="7" t="s">
        <v>447</v>
      </c>
      <c r="C180" s="6">
        <v>24</v>
      </c>
      <c r="D180" s="6" t="s">
        <v>15</v>
      </c>
      <c r="E180" s="7" t="s">
        <v>27</v>
      </c>
      <c r="F180" s="8">
        <v>45568</v>
      </c>
      <c r="G180" s="7" t="s">
        <v>17</v>
      </c>
      <c r="H180" s="7" t="s">
        <v>23</v>
      </c>
      <c r="I180" s="7" t="s">
        <v>65</v>
      </c>
      <c r="J180" s="7" t="s">
        <v>148</v>
      </c>
      <c r="K180" s="9">
        <v>800</v>
      </c>
      <c r="L180" s="9">
        <v>840</v>
      </c>
    </row>
    <row r="181" spans="1:12" ht="18" customHeight="1" x14ac:dyDescent="0.35">
      <c r="A181" s="2" t="s">
        <v>448</v>
      </c>
      <c r="B181" s="3" t="s">
        <v>449</v>
      </c>
      <c r="C181" s="2">
        <v>23</v>
      </c>
      <c r="D181" s="2" t="s">
        <v>15</v>
      </c>
      <c r="E181" s="3" t="s">
        <v>16</v>
      </c>
      <c r="F181" s="4">
        <v>45392</v>
      </c>
      <c r="G181" s="3" t="s">
        <v>42</v>
      </c>
      <c r="H181" s="3" t="s">
        <v>89</v>
      </c>
      <c r="I181" s="3" t="s">
        <v>136</v>
      </c>
      <c r="J181" s="3" t="s">
        <v>86</v>
      </c>
      <c r="K181" s="5">
        <v>500</v>
      </c>
      <c r="L181" s="5">
        <v>130</v>
      </c>
    </row>
    <row r="182" spans="1:12" ht="18" customHeight="1" x14ac:dyDescent="0.35">
      <c r="A182" s="6" t="s">
        <v>450</v>
      </c>
      <c r="B182" s="7" t="s">
        <v>451</v>
      </c>
      <c r="C182" s="6">
        <v>57</v>
      </c>
      <c r="D182" s="6" t="s">
        <v>15</v>
      </c>
      <c r="E182" s="7" t="s">
        <v>27</v>
      </c>
      <c r="F182" s="8">
        <v>45476</v>
      </c>
      <c r="G182" s="7" t="s">
        <v>17</v>
      </c>
      <c r="H182" s="7" t="s">
        <v>23</v>
      </c>
      <c r="I182" s="7" t="s">
        <v>154</v>
      </c>
      <c r="J182" s="7" t="s">
        <v>66</v>
      </c>
      <c r="K182" s="9">
        <v>750</v>
      </c>
      <c r="L182" s="9">
        <v>640</v>
      </c>
    </row>
    <row r="183" spans="1:12" ht="18" customHeight="1" x14ac:dyDescent="0.35">
      <c r="A183" s="2" t="s">
        <v>452</v>
      </c>
      <c r="B183" s="3" t="s">
        <v>453</v>
      </c>
      <c r="C183" s="2">
        <v>31</v>
      </c>
      <c r="D183" s="2" t="s">
        <v>34</v>
      </c>
      <c r="E183" s="3" t="s">
        <v>27</v>
      </c>
      <c r="F183" s="4">
        <v>45163</v>
      </c>
      <c r="G183" s="3" t="s">
        <v>42</v>
      </c>
      <c r="H183" s="3" t="s">
        <v>70</v>
      </c>
      <c r="I183" s="3" t="s">
        <v>85</v>
      </c>
      <c r="J183" s="3" t="s">
        <v>129</v>
      </c>
      <c r="K183" s="5">
        <v>450</v>
      </c>
      <c r="L183" s="5">
        <v>190</v>
      </c>
    </row>
    <row r="184" spans="1:12" ht="18" customHeight="1" x14ac:dyDescent="0.35">
      <c r="A184" s="6" t="s">
        <v>454</v>
      </c>
      <c r="B184" s="7" t="s">
        <v>455</v>
      </c>
      <c r="C184" s="6">
        <v>72</v>
      </c>
      <c r="D184" s="6" t="s">
        <v>34</v>
      </c>
      <c r="E184" s="7" t="s">
        <v>16</v>
      </c>
      <c r="F184" s="8">
        <v>45311</v>
      </c>
      <c r="G184" s="7" t="s">
        <v>48</v>
      </c>
      <c r="H184" s="7" t="s">
        <v>54</v>
      </c>
      <c r="I184" s="7" t="s">
        <v>55</v>
      </c>
      <c r="J184" s="7" t="s">
        <v>114</v>
      </c>
      <c r="K184" s="9">
        <v>800</v>
      </c>
      <c r="L184" s="9">
        <v>180</v>
      </c>
    </row>
    <row r="185" spans="1:12" ht="18" customHeight="1" x14ac:dyDescent="0.35">
      <c r="A185" s="2" t="s">
        <v>456</v>
      </c>
      <c r="B185" s="3" t="s">
        <v>457</v>
      </c>
      <c r="C185" s="2">
        <v>68</v>
      </c>
      <c r="D185" s="2" t="s">
        <v>15</v>
      </c>
      <c r="E185" s="3" t="s">
        <v>69</v>
      </c>
      <c r="F185" s="4">
        <v>45278</v>
      </c>
      <c r="G185" s="3" t="s">
        <v>42</v>
      </c>
      <c r="H185" s="3" t="s">
        <v>43</v>
      </c>
      <c r="I185" s="3" t="s">
        <v>85</v>
      </c>
      <c r="J185" s="3" t="s">
        <v>129</v>
      </c>
      <c r="K185" s="5">
        <v>300</v>
      </c>
      <c r="L185" s="5">
        <v>370</v>
      </c>
    </row>
    <row r="186" spans="1:12" ht="18" customHeight="1" x14ac:dyDescent="0.35">
      <c r="A186" s="6" t="s">
        <v>458</v>
      </c>
      <c r="B186" s="7" t="s">
        <v>459</v>
      </c>
      <c r="C186" s="6">
        <v>15</v>
      </c>
      <c r="D186" s="6" t="s">
        <v>15</v>
      </c>
      <c r="E186" s="7" t="s">
        <v>80</v>
      </c>
      <c r="F186" s="8">
        <v>45261</v>
      </c>
      <c r="G186" s="7" t="s">
        <v>17</v>
      </c>
      <c r="H186" s="7" t="s">
        <v>64</v>
      </c>
      <c r="I186" s="7" t="s">
        <v>147</v>
      </c>
      <c r="J186" s="7" t="s">
        <v>24</v>
      </c>
      <c r="K186" s="9">
        <v>1150</v>
      </c>
      <c r="L186" s="9">
        <v>600</v>
      </c>
    </row>
    <row r="187" spans="1:12" ht="18" customHeight="1" x14ac:dyDescent="0.35">
      <c r="A187" s="2" t="s">
        <v>460</v>
      </c>
      <c r="B187" s="3" t="s">
        <v>461</v>
      </c>
      <c r="C187" s="2">
        <v>6</v>
      </c>
      <c r="D187" s="2" t="s">
        <v>34</v>
      </c>
      <c r="E187" s="3" t="s">
        <v>16</v>
      </c>
      <c r="F187" s="4">
        <v>45286</v>
      </c>
      <c r="G187" s="3" t="s">
        <v>36</v>
      </c>
      <c r="H187" s="3" t="s">
        <v>37</v>
      </c>
      <c r="I187" s="3" t="s">
        <v>104</v>
      </c>
      <c r="J187" s="3" t="s">
        <v>133</v>
      </c>
      <c r="K187" s="5">
        <v>600</v>
      </c>
      <c r="L187" s="5">
        <v>220</v>
      </c>
    </row>
    <row r="188" spans="1:12" ht="18" customHeight="1" x14ac:dyDescent="0.35">
      <c r="A188" s="6" t="s">
        <v>462</v>
      </c>
      <c r="B188" s="7" t="s">
        <v>463</v>
      </c>
      <c r="C188" s="6">
        <v>4</v>
      </c>
      <c r="D188" s="6" t="s">
        <v>34</v>
      </c>
      <c r="E188" s="7" t="s">
        <v>80</v>
      </c>
      <c r="F188" s="8">
        <v>45479</v>
      </c>
      <c r="G188" s="7" t="s">
        <v>48</v>
      </c>
      <c r="H188" s="7" t="s">
        <v>93</v>
      </c>
      <c r="I188" s="7" t="s">
        <v>94</v>
      </c>
      <c r="J188" s="7" t="s">
        <v>56</v>
      </c>
      <c r="K188" s="9">
        <v>850</v>
      </c>
      <c r="L188" s="9">
        <v>480</v>
      </c>
    </row>
    <row r="189" spans="1:12" ht="18" customHeight="1" x14ac:dyDescent="0.35">
      <c r="A189" s="2" t="s">
        <v>464</v>
      </c>
      <c r="B189" s="3" t="s">
        <v>465</v>
      </c>
      <c r="C189" s="2">
        <v>5</v>
      </c>
      <c r="D189" s="2" t="s">
        <v>34</v>
      </c>
      <c r="E189" s="3" t="s">
        <v>107</v>
      </c>
      <c r="F189" s="4">
        <v>45436</v>
      </c>
      <c r="G189" s="3" t="s">
        <v>42</v>
      </c>
      <c r="H189" s="3" t="s">
        <v>70</v>
      </c>
      <c r="I189" s="3" t="s">
        <v>71</v>
      </c>
      <c r="J189" s="3" t="s">
        <v>129</v>
      </c>
      <c r="K189" s="5">
        <v>400</v>
      </c>
      <c r="L189" s="5">
        <v>180</v>
      </c>
    </row>
    <row r="190" spans="1:12" ht="18" customHeight="1" x14ac:dyDescent="0.35">
      <c r="A190" s="6" t="s">
        <v>466</v>
      </c>
      <c r="B190" s="7" t="s">
        <v>467</v>
      </c>
      <c r="C190" s="6">
        <v>73</v>
      </c>
      <c r="D190" s="6" t="s">
        <v>15</v>
      </c>
      <c r="E190" s="7" t="s">
        <v>16</v>
      </c>
      <c r="F190" s="8">
        <v>45042</v>
      </c>
      <c r="G190" s="7" t="s">
        <v>42</v>
      </c>
      <c r="H190" s="7" t="s">
        <v>89</v>
      </c>
      <c r="I190" s="7" t="s">
        <v>136</v>
      </c>
      <c r="J190" s="7" t="s">
        <v>197</v>
      </c>
      <c r="K190" s="9">
        <v>450</v>
      </c>
      <c r="L190" s="9">
        <v>190</v>
      </c>
    </row>
    <row r="191" spans="1:12" ht="18" customHeight="1" x14ac:dyDescent="0.35">
      <c r="A191" s="2" t="s">
        <v>468</v>
      </c>
      <c r="B191" s="3" t="s">
        <v>469</v>
      </c>
      <c r="C191" s="2">
        <v>69</v>
      </c>
      <c r="D191" s="2" t="s">
        <v>15</v>
      </c>
      <c r="E191" s="3" t="s">
        <v>107</v>
      </c>
      <c r="F191" s="4">
        <v>45580</v>
      </c>
      <c r="G191" s="3" t="s">
        <v>17</v>
      </c>
      <c r="H191" s="3" t="s">
        <v>23</v>
      </c>
      <c r="I191" s="3" t="s">
        <v>154</v>
      </c>
      <c r="J191" s="3" t="s">
        <v>148</v>
      </c>
      <c r="K191" s="5">
        <v>1050</v>
      </c>
      <c r="L191" s="5">
        <v>790</v>
      </c>
    </row>
    <row r="192" spans="1:12" ht="18" customHeight="1" x14ac:dyDescent="0.35">
      <c r="A192" s="6" t="s">
        <v>470</v>
      </c>
      <c r="B192" s="7" t="s">
        <v>471</v>
      </c>
      <c r="C192" s="6">
        <v>18</v>
      </c>
      <c r="D192" s="6" t="s">
        <v>34</v>
      </c>
      <c r="E192" s="7" t="s">
        <v>107</v>
      </c>
      <c r="F192" s="8">
        <v>45537</v>
      </c>
      <c r="G192" s="7" t="s">
        <v>42</v>
      </c>
      <c r="H192" s="7" t="s">
        <v>89</v>
      </c>
      <c r="I192" s="7" t="s">
        <v>85</v>
      </c>
      <c r="J192" s="7" t="s">
        <v>45</v>
      </c>
      <c r="K192" s="9">
        <v>350</v>
      </c>
      <c r="L192" s="9">
        <v>310</v>
      </c>
    </row>
    <row r="193" spans="1:12" ht="18" customHeight="1" x14ac:dyDescent="0.35">
      <c r="A193" s="2" t="s">
        <v>472</v>
      </c>
      <c r="B193" s="3" t="s">
        <v>473</v>
      </c>
      <c r="C193" s="2">
        <v>36</v>
      </c>
      <c r="D193" s="2" t="s">
        <v>34</v>
      </c>
      <c r="E193" s="3" t="s">
        <v>69</v>
      </c>
      <c r="F193" s="4">
        <v>44991</v>
      </c>
      <c r="G193" s="3" t="s">
        <v>17</v>
      </c>
      <c r="H193" s="3" t="s">
        <v>23</v>
      </c>
      <c r="I193" s="3" t="s">
        <v>147</v>
      </c>
      <c r="J193" s="3" t="s">
        <v>226</v>
      </c>
      <c r="K193" s="5">
        <v>950</v>
      </c>
      <c r="L193" s="5">
        <v>600</v>
      </c>
    </row>
    <row r="194" spans="1:12" ht="18" customHeight="1" x14ac:dyDescent="0.35">
      <c r="A194" s="6" t="s">
        <v>474</v>
      </c>
      <c r="B194" s="7" t="s">
        <v>475</v>
      </c>
      <c r="C194" s="6">
        <v>65</v>
      </c>
      <c r="D194" s="6" t="s">
        <v>15</v>
      </c>
      <c r="E194" s="7" t="s">
        <v>69</v>
      </c>
      <c r="F194" s="8">
        <v>45306</v>
      </c>
      <c r="G194" s="7" t="s">
        <v>17</v>
      </c>
      <c r="H194" s="7" t="s">
        <v>23</v>
      </c>
      <c r="I194" s="7" t="s">
        <v>147</v>
      </c>
      <c r="J194" s="7" t="s">
        <v>24</v>
      </c>
      <c r="K194" s="9">
        <v>1050</v>
      </c>
      <c r="L194" s="9">
        <v>480</v>
      </c>
    </row>
    <row r="195" spans="1:12" ht="18" customHeight="1" x14ac:dyDescent="0.35">
      <c r="A195" s="2" t="s">
        <v>476</v>
      </c>
      <c r="B195" s="3" t="s">
        <v>477</v>
      </c>
      <c r="C195" s="2">
        <v>53</v>
      </c>
      <c r="D195" s="2" t="s">
        <v>15</v>
      </c>
      <c r="E195" s="3" t="s">
        <v>80</v>
      </c>
      <c r="F195" s="4">
        <v>45315</v>
      </c>
      <c r="G195" s="3" t="s">
        <v>17</v>
      </c>
      <c r="H195" s="3" t="s">
        <v>23</v>
      </c>
      <c r="I195" s="3" t="s">
        <v>19</v>
      </c>
      <c r="J195" s="3" t="s">
        <v>24</v>
      </c>
      <c r="K195" s="5">
        <v>900</v>
      </c>
      <c r="L195" s="5">
        <v>600</v>
      </c>
    </row>
    <row r="196" spans="1:12" ht="18" customHeight="1" x14ac:dyDescent="0.35">
      <c r="A196" s="6" t="s">
        <v>478</v>
      </c>
      <c r="B196" s="7" t="s">
        <v>479</v>
      </c>
      <c r="C196" s="6">
        <v>33</v>
      </c>
      <c r="D196" s="6" t="s">
        <v>15</v>
      </c>
      <c r="E196" s="7" t="s">
        <v>16</v>
      </c>
      <c r="F196" s="8">
        <v>45350</v>
      </c>
      <c r="G196" s="7" t="s">
        <v>42</v>
      </c>
      <c r="H196" s="7" t="s">
        <v>70</v>
      </c>
      <c r="I196" s="7" t="s">
        <v>44</v>
      </c>
      <c r="J196" s="7" t="s">
        <v>197</v>
      </c>
      <c r="K196" s="9">
        <v>400</v>
      </c>
      <c r="L196" s="9">
        <v>350</v>
      </c>
    </row>
    <row r="197" spans="1:12" ht="18" customHeight="1" x14ac:dyDescent="0.35">
      <c r="A197" s="2" t="s">
        <v>480</v>
      </c>
      <c r="B197" s="3" t="s">
        <v>481</v>
      </c>
      <c r="C197" s="2">
        <v>51</v>
      </c>
      <c r="D197" s="2" t="s">
        <v>34</v>
      </c>
      <c r="E197" s="3" t="s">
        <v>80</v>
      </c>
      <c r="F197" s="4">
        <v>45154</v>
      </c>
      <c r="G197" s="3" t="s">
        <v>42</v>
      </c>
      <c r="H197" s="3" t="s">
        <v>43</v>
      </c>
      <c r="I197" s="3" t="s">
        <v>110</v>
      </c>
      <c r="J197" s="3" t="s">
        <v>90</v>
      </c>
      <c r="K197" s="5">
        <v>500</v>
      </c>
      <c r="L197" s="5">
        <v>310</v>
      </c>
    </row>
    <row r="198" spans="1:12" ht="18" customHeight="1" x14ac:dyDescent="0.35">
      <c r="A198" s="6" t="s">
        <v>482</v>
      </c>
      <c r="B198" s="7" t="s">
        <v>483</v>
      </c>
      <c r="C198" s="6">
        <v>18</v>
      </c>
      <c r="D198" s="6" t="s">
        <v>34</v>
      </c>
      <c r="E198" s="7" t="s">
        <v>27</v>
      </c>
      <c r="F198" s="8">
        <v>45194</v>
      </c>
      <c r="G198" s="7" t="s">
        <v>36</v>
      </c>
      <c r="H198" s="7" t="s">
        <v>75</v>
      </c>
      <c r="I198" s="7" t="s">
        <v>104</v>
      </c>
      <c r="J198" s="7" t="s">
        <v>82</v>
      </c>
      <c r="K198" s="9">
        <v>900</v>
      </c>
      <c r="L198" s="9">
        <v>230</v>
      </c>
    </row>
    <row r="199" spans="1:12" ht="18" customHeight="1" x14ac:dyDescent="0.35">
      <c r="A199" s="2" t="s">
        <v>484</v>
      </c>
      <c r="B199" s="3" t="s">
        <v>485</v>
      </c>
      <c r="C199" s="2">
        <v>44</v>
      </c>
      <c r="D199" s="2" t="s">
        <v>34</v>
      </c>
      <c r="E199" s="3" t="s">
        <v>69</v>
      </c>
      <c r="F199" s="4">
        <v>45641</v>
      </c>
      <c r="G199" s="3" t="s">
        <v>48</v>
      </c>
      <c r="H199" s="3" t="s">
        <v>54</v>
      </c>
      <c r="I199" s="3" t="s">
        <v>50</v>
      </c>
      <c r="J199" s="3" t="s">
        <v>141</v>
      </c>
      <c r="K199" s="5">
        <v>600</v>
      </c>
      <c r="L199" s="5">
        <v>320</v>
      </c>
    </row>
    <row r="200" spans="1:12" ht="18" customHeight="1" x14ac:dyDescent="0.35">
      <c r="A200" s="6" t="s">
        <v>486</v>
      </c>
      <c r="B200" s="7" t="s">
        <v>487</v>
      </c>
      <c r="C200" s="6">
        <v>13</v>
      </c>
      <c r="D200" s="6" t="s">
        <v>34</v>
      </c>
      <c r="E200" s="7" t="s">
        <v>80</v>
      </c>
      <c r="F200" s="8">
        <v>45135</v>
      </c>
      <c r="G200" s="7" t="s">
        <v>48</v>
      </c>
      <c r="H200" s="7" t="s">
        <v>49</v>
      </c>
      <c r="I200" s="7" t="s">
        <v>55</v>
      </c>
      <c r="J200" s="7" t="s">
        <v>51</v>
      </c>
      <c r="K200" s="9">
        <v>850</v>
      </c>
      <c r="L200" s="9">
        <v>290</v>
      </c>
    </row>
    <row r="201" spans="1:12" ht="18" customHeight="1" x14ac:dyDescent="0.35">
      <c r="A201" s="2" t="s">
        <v>488</v>
      </c>
      <c r="B201" s="3" t="s">
        <v>489</v>
      </c>
      <c r="C201" s="2">
        <v>17</v>
      </c>
      <c r="D201" s="2" t="s">
        <v>15</v>
      </c>
      <c r="E201" s="3" t="s">
        <v>27</v>
      </c>
      <c r="F201" s="4">
        <v>45538</v>
      </c>
      <c r="G201" s="3" t="s">
        <v>42</v>
      </c>
      <c r="H201" s="3" t="s">
        <v>89</v>
      </c>
      <c r="I201" s="3" t="s">
        <v>136</v>
      </c>
      <c r="J201" s="3" t="s">
        <v>86</v>
      </c>
      <c r="K201" s="5">
        <v>400</v>
      </c>
      <c r="L201" s="5">
        <v>300</v>
      </c>
    </row>
    <row r="202" spans="1:12" ht="18" customHeight="1" x14ac:dyDescent="0.35">
      <c r="A202" s="6" t="s">
        <v>490</v>
      </c>
      <c r="B202" s="7" t="s">
        <v>491</v>
      </c>
      <c r="C202" s="6">
        <v>76</v>
      </c>
      <c r="D202" s="6" t="s">
        <v>34</v>
      </c>
      <c r="E202" s="7" t="s">
        <v>80</v>
      </c>
      <c r="F202" s="8">
        <v>45590</v>
      </c>
      <c r="G202" s="7" t="s">
        <v>28</v>
      </c>
      <c r="H202" s="7" t="s">
        <v>29</v>
      </c>
      <c r="I202" s="7" t="s">
        <v>174</v>
      </c>
      <c r="J202" s="7" t="s">
        <v>298</v>
      </c>
      <c r="K202" s="9">
        <v>650</v>
      </c>
      <c r="L202" s="9">
        <v>210</v>
      </c>
    </row>
    <row r="203" spans="1:12" ht="18" customHeight="1" x14ac:dyDescent="0.35">
      <c r="A203" s="2" t="s">
        <v>492</v>
      </c>
      <c r="B203" s="3" t="s">
        <v>493</v>
      </c>
      <c r="C203" s="2">
        <v>6</v>
      </c>
      <c r="D203" s="2" t="s">
        <v>15</v>
      </c>
      <c r="E203" s="3" t="s">
        <v>80</v>
      </c>
      <c r="F203" s="4">
        <v>45140</v>
      </c>
      <c r="G203" s="3" t="s">
        <v>48</v>
      </c>
      <c r="H203" s="3" t="s">
        <v>54</v>
      </c>
      <c r="I203" s="3" t="s">
        <v>151</v>
      </c>
      <c r="J203" s="3" t="s">
        <v>51</v>
      </c>
      <c r="K203" s="5">
        <v>800</v>
      </c>
      <c r="L203" s="5">
        <v>240</v>
      </c>
    </row>
    <row r="204" spans="1:12" ht="18" customHeight="1" x14ac:dyDescent="0.35">
      <c r="A204" s="6" t="s">
        <v>494</v>
      </c>
      <c r="B204" s="7" t="s">
        <v>495</v>
      </c>
      <c r="C204" s="6">
        <v>74</v>
      </c>
      <c r="D204" s="6" t="s">
        <v>15</v>
      </c>
      <c r="E204" s="7" t="s">
        <v>27</v>
      </c>
      <c r="F204" s="8">
        <v>45161</v>
      </c>
      <c r="G204" s="7" t="s">
        <v>48</v>
      </c>
      <c r="H204" s="7" t="s">
        <v>93</v>
      </c>
      <c r="I204" s="7" t="s">
        <v>94</v>
      </c>
      <c r="J204" s="7" t="s">
        <v>95</v>
      </c>
      <c r="K204" s="9">
        <v>600</v>
      </c>
      <c r="L204" s="9">
        <v>210</v>
      </c>
    </row>
    <row r="205" spans="1:12" ht="18" customHeight="1" x14ac:dyDescent="0.35">
      <c r="A205" s="2" t="s">
        <v>496</v>
      </c>
      <c r="B205" s="3" t="s">
        <v>497</v>
      </c>
      <c r="C205" s="2">
        <v>4</v>
      </c>
      <c r="D205" s="2" t="s">
        <v>15</v>
      </c>
      <c r="E205" s="3" t="s">
        <v>80</v>
      </c>
      <c r="F205" s="4">
        <v>45204</v>
      </c>
      <c r="G205" s="3" t="s">
        <v>17</v>
      </c>
      <c r="H205" s="3" t="s">
        <v>64</v>
      </c>
      <c r="I205" s="3" t="s">
        <v>192</v>
      </c>
      <c r="J205" s="3" t="s">
        <v>148</v>
      </c>
      <c r="K205" s="5">
        <v>1000</v>
      </c>
      <c r="L205" s="5">
        <v>820</v>
      </c>
    </row>
    <row r="206" spans="1:12" ht="18" customHeight="1" x14ac:dyDescent="0.35">
      <c r="A206" s="6" t="s">
        <v>498</v>
      </c>
      <c r="B206" s="7" t="s">
        <v>499</v>
      </c>
      <c r="C206" s="6">
        <v>46</v>
      </c>
      <c r="D206" s="6" t="s">
        <v>34</v>
      </c>
      <c r="E206" s="7" t="s">
        <v>16</v>
      </c>
      <c r="F206" s="8">
        <v>45068</v>
      </c>
      <c r="G206" s="7" t="s">
        <v>48</v>
      </c>
      <c r="H206" s="7" t="s">
        <v>54</v>
      </c>
      <c r="I206" s="7" t="s">
        <v>257</v>
      </c>
      <c r="J206" s="7" t="s">
        <v>114</v>
      </c>
      <c r="K206" s="9">
        <v>700</v>
      </c>
      <c r="L206" s="9">
        <v>480</v>
      </c>
    </row>
    <row r="207" spans="1:12" ht="18" customHeight="1" x14ac:dyDescent="0.35">
      <c r="A207" s="2" t="s">
        <v>500</v>
      </c>
      <c r="B207" s="3" t="s">
        <v>501</v>
      </c>
      <c r="C207" s="2">
        <v>24</v>
      </c>
      <c r="D207" s="2" t="s">
        <v>15</v>
      </c>
      <c r="E207" s="3" t="s">
        <v>27</v>
      </c>
      <c r="F207" s="4">
        <v>45413</v>
      </c>
      <c r="G207" s="3" t="s">
        <v>17</v>
      </c>
      <c r="H207" s="3" t="s">
        <v>64</v>
      </c>
      <c r="I207" s="3" t="s">
        <v>147</v>
      </c>
      <c r="J207" s="3" t="s">
        <v>148</v>
      </c>
      <c r="K207" s="5">
        <v>850</v>
      </c>
      <c r="L207" s="5">
        <v>600</v>
      </c>
    </row>
    <row r="208" spans="1:12" ht="18" customHeight="1" x14ac:dyDescent="0.35">
      <c r="A208" s="6" t="s">
        <v>502</v>
      </c>
      <c r="B208" s="7" t="s">
        <v>503</v>
      </c>
      <c r="C208" s="6">
        <v>72</v>
      </c>
      <c r="D208" s="6" t="s">
        <v>34</v>
      </c>
      <c r="E208" s="7" t="s">
        <v>35</v>
      </c>
      <c r="F208" s="8">
        <v>45010</v>
      </c>
      <c r="G208" s="7" t="s">
        <v>42</v>
      </c>
      <c r="H208" s="7" t="s">
        <v>43</v>
      </c>
      <c r="I208" s="7" t="s">
        <v>71</v>
      </c>
      <c r="J208" s="7" t="s">
        <v>45</v>
      </c>
      <c r="K208" s="9">
        <v>450</v>
      </c>
      <c r="L208" s="9">
        <v>120</v>
      </c>
    </row>
    <row r="209" spans="1:12" ht="18" customHeight="1" x14ac:dyDescent="0.35">
      <c r="A209" s="2" t="s">
        <v>504</v>
      </c>
      <c r="B209" s="3" t="s">
        <v>505</v>
      </c>
      <c r="C209" s="2">
        <v>41</v>
      </c>
      <c r="D209" s="2" t="s">
        <v>15</v>
      </c>
      <c r="E209" s="3" t="s">
        <v>16</v>
      </c>
      <c r="F209" s="4">
        <v>45440</v>
      </c>
      <c r="G209" s="3" t="s">
        <v>17</v>
      </c>
      <c r="H209" s="3" t="s">
        <v>23</v>
      </c>
      <c r="I209" s="3" t="s">
        <v>65</v>
      </c>
      <c r="J209" s="3" t="s">
        <v>148</v>
      </c>
      <c r="K209" s="5">
        <v>1000</v>
      </c>
      <c r="L209" s="5">
        <v>820</v>
      </c>
    </row>
    <row r="210" spans="1:12" ht="18" customHeight="1" x14ac:dyDescent="0.35">
      <c r="A210" s="6" t="s">
        <v>506</v>
      </c>
      <c r="B210" s="7" t="s">
        <v>507</v>
      </c>
      <c r="C210" s="6">
        <v>25</v>
      </c>
      <c r="D210" s="6" t="s">
        <v>15</v>
      </c>
      <c r="E210" s="7" t="s">
        <v>35</v>
      </c>
      <c r="F210" s="8">
        <v>45340</v>
      </c>
      <c r="G210" s="7" t="s">
        <v>36</v>
      </c>
      <c r="H210" s="7" t="s">
        <v>37</v>
      </c>
      <c r="I210" s="7" t="s">
        <v>104</v>
      </c>
      <c r="J210" s="7" t="s">
        <v>189</v>
      </c>
      <c r="K210" s="9">
        <v>700</v>
      </c>
      <c r="L210" s="9">
        <v>500</v>
      </c>
    </row>
    <row r="211" spans="1:12" ht="18" customHeight="1" x14ac:dyDescent="0.35">
      <c r="A211" s="2" t="s">
        <v>508</v>
      </c>
      <c r="B211" s="3" t="s">
        <v>509</v>
      </c>
      <c r="C211" s="2">
        <v>41</v>
      </c>
      <c r="D211" s="2" t="s">
        <v>15</v>
      </c>
      <c r="E211" s="3" t="s">
        <v>35</v>
      </c>
      <c r="F211" s="4">
        <v>45620</v>
      </c>
      <c r="G211" s="3" t="s">
        <v>42</v>
      </c>
      <c r="H211" s="3" t="s">
        <v>43</v>
      </c>
      <c r="I211" s="3" t="s">
        <v>110</v>
      </c>
      <c r="J211" s="3" t="s">
        <v>86</v>
      </c>
      <c r="K211" s="5">
        <v>450</v>
      </c>
      <c r="L211" s="5">
        <v>400</v>
      </c>
    </row>
    <row r="212" spans="1:12" ht="18" customHeight="1" x14ac:dyDescent="0.35">
      <c r="A212" s="6" t="s">
        <v>510</v>
      </c>
      <c r="B212" s="7" t="s">
        <v>511</v>
      </c>
      <c r="C212" s="6">
        <v>9</v>
      </c>
      <c r="D212" s="6" t="s">
        <v>34</v>
      </c>
      <c r="E212" s="7" t="s">
        <v>35</v>
      </c>
      <c r="F212" s="8">
        <v>45175</v>
      </c>
      <c r="G212" s="7" t="s">
        <v>36</v>
      </c>
      <c r="H212" s="7" t="s">
        <v>75</v>
      </c>
      <c r="I212" s="7" t="s">
        <v>38</v>
      </c>
      <c r="J212" s="7" t="s">
        <v>133</v>
      </c>
      <c r="K212" s="9">
        <v>750</v>
      </c>
      <c r="L212" s="9">
        <v>220</v>
      </c>
    </row>
    <row r="213" spans="1:12" ht="18" customHeight="1" x14ac:dyDescent="0.35">
      <c r="A213" s="2" t="s">
        <v>512</v>
      </c>
      <c r="B213" s="3" t="s">
        <v>513</v>
      </c>
      <c r="C213" s="2">
        <v>60</v>
      </c>
      <c r="D213" s="2" t="s">
        <v>34</v>
      </c>
      <c r="E213" s="3" t="s">
        <v>35</v>
      </c>
      <c r="F213" s="4">
        <v>45457</v>
      </c>
      <c r="G213" s="3" t="s">
        <v>28</v>
      </c>
      <c r="H213" s="3" t="s">
        <v>59</v>
      </c>
      <c r="I213" s="3" t="s">
        <v>123</v>
      </c>
      <c r="J213" s="3" t="s">
        <v>298</v>
      </c>
      <c r="K213" s="5">
        <v>600</v>
      </c>
      <c r="L213" s="5">
        <v>160</v>
      </c>
    </row>
    <row r="214" spans="1:12" ht="18" customHeight="1" x14ac:dyDescent="0.35">
      <c r="A214" s="6" t="s">
        <v>514</v>
      </c>
      <c r="B214" s="7" t="s">
        <v>515</v>
      </c>
      <c r="C214" s="6">
        <v>60</v>
      </c>
      <c r="D214" s="6" t="s">
        <v>34</v>
      </c>
      <c r="E214" s="7" t="s">
        <v>16</v>
      </c>
      <c r="F214" s="8">
        <v>44928</v>
      </c>
      <c r="G214" s="7" t="s">
        <v>28</v>
      </c>
      <c r="H214" s="7" t="s">
        <v>122</v>
      </c>
      <c r="I214" s="7" t="s">
        <v>123</v>
      </c>
      <c r="J214" s="7" t="s">
        <v>31</v>
      </c>
      <c r="K214" s="9">
        <v>550</v>
      </c>
      <c r="L214" s="9">
        <v>260</v>
      </c>
    </row>
    <row r="215" spans="1:12" ht="18" customHeight="1" x14ac:dyDescent="0.35">
      <c r="A215" s="2" t="s">
        <v>516</v>
      </c>
      <c r="B215" s="3" t="s">
        <v>517</v>
      </c>
      <c r="C215" s="2">
        <v>10</v>
      </c>
      <c r="D215" s="2" t="s">
        <v>34</v>
      </c>
      <c r="E215" s="3" t="s">
        <v>16</v>
      </c>
      <c r="F215" s="4">
        <v>45390</v>
      </c>
      <c r="G215" s="3" t="s">
        <v>42</v>
      </c>
      <c r="H215" s="3" t="s">
        <v>43</v>
      </c>
      <c r="I215" s="3" t="s">
        <v>71</v>
      </c>
      <c r="J215" s="3" t="s">
        <v>86</v>
      </c>
      <c r="K215" s="5">
        <v>400</v>
      </c>
      <c r="L215" s="5">
        <v>320</v>
      </c>
    </row>
    <row r="216" spans="1:12" ht="18" customHeight="1" x14ac:dyDescent="0.35">
      <c r="A216" s="6" t="s">
        <v>518</v>
      </c>
      <c r="B216" s="7" t="s">
        <v>324</v>
      </c>
      <c r="C216" s="6">
        <v>43</v>
      </c>
      <c r="D216" s="6" t="s">
        <v>15</v>
      </c>
      <c r="E216" s="7" t="s">
        <v>27</v>
      </c>
      <c r="F216" s="8">
        <v>45093</v>
      </c>
      <c r="G216" s="7" t="s">
        <v>28</v>
      </c>
      <c r="H216" s="7" t="s">
        <v>29</v>
      </c>
      <c r="I216" s="7" t="s">
        <v>174</v>
      </c>
      <c r="J216" s="7" t="s">
        <v>371</v>
      </c>
      <c r="K216" s="9">
        <v>500</v>
      </c>
      <c r="L216" s="9">
        <v>210</v>
      </c>
    </row>
    <row r="217" spans="1:12" ht="18" customHeight="1" x14ac:dyDescent="0.35">
      <c r="A217" s="2" t="s">
        <v>519</v>
      </c>
      <c r="B217" s="3" t="s">
        <v>520</v>
      </c>
      <c r="C217" s="2">
        <v>24</v>
      </c>
      <c r="D217" s="2" t="s">
        <v>15</v>
      </c>
      <c r="E217" s="3" t="s">
        <v>35</v>
      </c>
      <c r="F217" s="4">
        <v>45445</v>
      </c>
      <c r="G217" s="3" t="s">
        <v>42</v>
      </c>
      <c r="H217" s="3" t="s">
        <v>70</v>
      </c>
      <c r="I217" s="3" t="s">
        <v>71</v>
      </c>
      <c r="J217" s="3" t="s">
        <v>45</v>
      </c>
      <c r="K217" s="5">
        <v>400</v>
      </c>
      <c r="L217" s="5">
        <v>340</v>
      </c>
    </row>
    <row r="218" spans="1:12" ht="18" customHeight="1" x14ac:dyDescent="0.35">
      <c r="A218" s="6" t="s">
        <v>521</v>
      </c>
      <c r="B218" s="7" t="s">
        <v>522</v>
      </c>
      <c r="C218" s="6">
        <v>56</v>
      </c>
      <c r="D218" s="6" t="s">
        <v>34</v>
      </c>
      <c r="E218" s="7" t="s">
        <v>16</v>
      </c>
      <c r="F218" s="8">
        <v>44928</v>
      </c>
      <c r="G218" s="7" t="s">
        <v>42</v>
      </c>
      <c r="H218" s="7" t="s">
        <v>43</v>
      </c>
      <c r="I218" s="7" t="s">
        <v>136</v>
      </c>
      <c r="J218" s="7" t="s">
        <v>197</v>
      </c>
      <c r="K218" s="9">
        <v>400</v>
      </c>
      <c r="L218" s="9">
        <v>360</v>
      </c>
    </row>
    <row r="219" spans="1:12" ht="18" customHeight="1" x14ac:dyDescent="0.35">
      <c r="A219" s="2" t="s">
        <v>523</v>
      </c>
      <c r="B219" s="3" t="s">
        <v>524</v>
      </c>
      <c r="C219" s="2">
        <v>47</v>
      </c>
      <c r="D219" s="2" t="s">
        <v>15</v>
      </c>
      <c r="E219" s="3" t="s">
        <v>80</v>
      </c>
      <c r="F219" s="4">
        <v>45499</v>
      </c>
      <c r="G219" s="3" t="s">
        <v>28</v>
      </c>
      <c r="H219" s="3" t="s">
        <v>122</v>
      </c>
      <c r="I219" s="3" t="s">
        <v>123</v>
      </c>
      <c r="J219" s="3" t="s">
        <v>61</v>
      </c>
      <c r="K219" s="5">
        <v>450</v>
      </c>
      <c r="L219" s="5">
        <v>210</v>
      </c>
    </row>
    <row r="220" spans="1:12" ht="18" customHeight="1" x14ac:dyDescent="0.35">
      <c r="A220" s="6" t="s">
        <v>525</v>
      </c>
      <c r="B220" s="7" t="s">
        <v>526</v>
      </c>
      <c r="C220" s="6">
        <v>45</v>
      </c>
      <c r="D220" s="6" t="s">
        <v>34</v>
      </c>
      <c r="E220" s="7" t="s">
        <v>16</v>
      </c>
      <c r="F220" s="8">
        <v>45486</v>
      </c>
      <c r="G220" s="7" t="s">
        <v>42</v>
      </c>
      <c r="H220" s="7" t="s">
        <v>43</v>
      </c>
      <c r="I220" s="7" t="s">
        <v>65</v>
      </c>
      <c r="J220" s="7" t="s">
        <v>86</v>
      </c>
      <c r="K220" s="9">
        <v>350</v>
      </c>
      <c r="L220" s="9">
        <v>130</v>
      </c>
    </row>
    <row r="221" spans="1:12" ht="18" customHeight="1" x14ac:dyDescent="0.35">
      <c r="A221" s="2" t="s">
        <v>527</v>
      </c>
      <c r="B221" s="3" t="s">
        <v>528</v>
      </c>
      <c r="C221" s="2">
        <v>17</v>
      </c>
      <c r="D221" s="2" t="s">
        <v>34</v>
      </c>
      <c r="E221" s="3" t="s">
        <v>16</v>
      </c>
      <c r="F221" s="4">
        <v>45467</v>
      </c>
      <c r="G221" s="3" t="s">
        <v>42</v>
      </c>
      <c r="H221" s="3" t="s">
        <v>43</v>
      </c>
      <c r="I221" s="3" t="s">
        <v>110</v>
      </c>
      <c r="J221" s="3" t="s">
        <v>129</v>
      </c>
      <c r="K221" s="5">
        <v>450</v>
      </c>
      <c r="L221" s="5">
        <v>140</v>
      </c>
    </row>
    <row r="222" spans="1:12" ht="18" customHeight="1" x14ac:dyDescent="0.35">
      <c r="A222" s="6" t="s">
        <v>529</v>
      </c>
      <c r="B222" s="7" t="s">
        <v>530</v>
      </c>
      <c r="C222" s="6">
        <v>19</v>
      </c>
      <c r="D222" s="6" t="s">
        <v>34</v>
      </c>
      <c r="E222" s="7" t="s">
        <v>16</v>
      </c>
      <c r="F222" s="8">
        <v>45017</v>
      </c>
      <c r="G222" s="7" t="s">
        <v>36</v>
      </c>
      <c r="H222" s="7" t="s">
        <v>75</v>
      </c>
      <c r="I222" s="7" t="s">
        <v>144</v>
      </c>
      <c r="J222" s="7" t="s">
        <v>189</v>
      </c>
      <c r="K222" s="9">
        <v>700</v>
      </c>
      <c r="L222" s="9">
        <v>320</v>
      </c>
    </row>
    <row r="223" spans="1:12" ht="18" customHeight="1" x14ac:dyDescent="0.35">
      <c r="A223" s="2" t="s">
        <v>531</v>
      </c>
      <c r="B223" s="3" t="s">
        <v>532</v>
      </c>
      <c r="C223" s="2">
        <v>70</v>
      </c>
      <c r="D223" s="2" t="s">
        <v>15</v>
      </c>
      <c r="E223" s="3" t="s">
        <v>27</v>
      </c>
      <c r="F223" s="4">
        <v>44961</v>
      </c>
      <c r="G223" s="3" t="s">
        <v>36</v>
      </c>
      <c r="H223" s="3" t="s">
        <v>75</v>
      </c>
      <c r="I223" s="3" t="s">
        <v>38</v>
      </c>
      <c r="J223" s="3" t="s">
        <v>39</v>
      </c>
      <c r="K223" s="5">
        <v>750</v>
      </c>
      <c r="L223" s="5">
        <v>500</v>
      </c>
    </row>
    <row r="224" spans="1:12" ht="18" customHeight="1" x14ac:dyDescent="0.35">
      <c r="A224" s="6" t="s">
        <v>533</v>
      </c>
      <c r="B224" s="7" t="s">
        <v>534</v>
      </c>
      <c r="C224" s="6">
        <v>75</v>
      </c>
      <c r="D224" s="6" t="s">
        <v>34</v>
      </c>
      <c r="E224" s="7" t="s">
        <v>35</v>
      </c>
      <c r="F224" s="8">
        <v>45109</v>
      </c>
      <c r="G224" s="7" t="s">
        <v>17</v>
      </c>
      <c r="H224" s="7" t="s">
        <v>23</v>
      </c>
      <c r="I224" s="7" t="s">
        <v>147</v>
      </c>
      <c r="J224" s="7" t="s">
        <v>226</v>
      </c>
      <c r="K224" s="9">
        <v>900</v>
      </c>
      <c r="L224" s="9">
        <v>590</v>
      </c>
    </row>
    <row r="225" spans="1:12" ht="18" customHeight="1" x14ac:dyDescent="0.35">
      <c r="A225" s="2" t="s">
        <v>535</v>
      </c>
      <c r="B225" s="3" t="s">
        <v>536</v>
      </c>
      <c r="C225" s="2">
        <v>18</v>
      </c>
      <c r="D225" s="2" t="s">
        <v>34</v>
      </c>
      <c r="E225" s="3" t="s">
        <v>80</v>
      </c>
      <c r="F225" s="4">
        <v>45574</v>
      </c>
      <c r="G225" s="3" t="s">
        <v>36</v>
      </c>
      <c r="H225" s="3" t="s">
        <v>75</v>
      </c>
      <c r="I225" s="3" t="s">
        <v>104</v>
      </c>
      <c r="J225" s="3" t="s">
        <v>82</v>
      </c>
      <c r="K225" s="5">
        <v>1000</v>
      </c>
      <c r="L225" s="5">
        <v>230</v>
      </c>
    </row>
    <row r="226" spans="1:12" ht="18" customHeight="1" x14ac:dyDescent="0.35">
      <c r="A226" s="6" t="s">
        <v>537</v>
      </c>
      <c r="B226" s="7" t="s">
        <v>538</v>
      </c>
      <c r="C226" s="6">
        <v>27</v>
      </c>
      <c r="D226" s="6" t="s">
        <v>34</v>
      </c>
      <c r="E226" s="7" t="s">
        <v>35</v>
      </c>
      <c r="F226" s="8">
        <v>45007</v>
      </c>
      <c r="G226" s="7" t="s">
        <v>28</v>
      </c>
      <c r="H226" s="7" t="s">
        <v>59</v>
      </c>
      <c r="I226" s="7" t="s">
        <v>60</v>
      </c>
      <c r="J226" s="7" t="s">
        <v>298</v>
      </c>
      <c r="K226" s="9">
        <v>450</v>
      </c>
      <c r="L226" s="9">
        <v>120</v>
      </c>
    </row>
    <row r="227" spans="1:12" ht="18" customHeight="1" x14ac:dyDescent="0.35">
      <c r="A227" s="2" t="s">
        <v>539</v>
      </c>
      <c r="B227" s="3" t="s">
        <v>540</v>
      </c>
      <c r="C227" s="2">
        <v>59</v>
      </c>
      <c r="D227" s="2" t="s">
        <v>15</v>
      </c>
      <c r="E227" s="3" t="s">
        <v>27</v>
      </c>
      <c r="F227" s="4">
        <v>45612</v>
      </c>
      <c r="G227" s="3" t="s">
        <v>17</v>
      </c>
      <c r="H227" s="3" t="s">
        <v>18</v>
      </c>
      <c r="I227" s="3" t="s">
        <v>154</v>
      </c>
      <c r="J227" s="3" t="s">
        <v>226</v>
      </c>
      <c r="K227" s="5">
        <v>1050</v>
      </c>
      <c r="L227" s="5">
        <v>480</v>
      </c>
    </row>
    <row r="228" spans="1:12" ht="18" customHeight="1" x14ac:dyDescent="0.35">
      <c r="A228" s="6" t="s">
        <v>541</v>
      </c>
      <c r="B228" s="7" t="s">
        <v>542</v>
      </c>
      <c r="C228" s="6">
        <v>27</v>
      </c>
      <c r="D228" s="6" t="s">
        <v>15</v>
      </c>
      <c r="E228" s="7" t="s">
        <v>27</v>
      </c>
      <c r="F228" s="8">
        <v>45402</v>
      </c>
      <c r="G228" s="7" t="s">
        <v>42</v>
      </c>
      <c r="H228" s="7" t="s">
        <v>89</v>
      </c>
      <c r="I228" s="7" t="s">
        <v>110</v>
      </c>
      <c r="J228" s="7" t="s">
        <v>90</v>
      </c>
      <c r="K228" s="9">
        <v>500</v>
      </c>
      <c r="L228" s="9">
        <v>230</v>
      </c>
    </row>
    <row r="229" spans="1:12" ht="18" customHeight="1" x14ac:dyDescent="0.35">
      <c r="A229" s="2" t="s">
        <v>543</v>
      </c>
      <c r="B229" s="3" t="s">
        <v>544</v>
      </c>
      <c r="C229" s="2">
        <v>70</v>
      </c>
      <c r="D229" s="2" t="s">
        <v>34</v>
      </c>
      <c r="E229" s="3" t="s">
        <v>16</v>
      </c>
      <c r="F229" s="4">
        <v>45622</v>
      </c>
      <c r="G229" s="3" t="s">
        <v>28</v>
      </c>
      <c r="H229" s="3" t="s">
        <v>59</v>
      </c>
      <c r="I229" s="3" t="s">
        <v>110</v>
      </c>
      <c r="J229" s="3" t="s">
        <v>298</v>
      </c>
      <c r="K229" s="5">
        <v>700</v>
      </c>
      <c r="L229" s="5">
        <v>140</v>
      </c>
    </row>
    <row r="230" spans="1:12" ht="18" customHeight="1" x14ac:dyDescent="0.35">
      <c r="A230" s="6" t="s">
        <v>545</v>
      </c>
      <c r="B230" s="7" t="s">
        <v>546</v>
      </c>
      <c r="C230" s="6">
        <v>33</v>
      </c>
      <c r="D230" s="6" t="s">
        <v>34</v>
      </c>
      <c r="E230" s="7" t="s">
        <v>107</v>
      </c>
      <c r="F230" s="8">
        <v>45272</v>
      </c>
      <c r="G230" s="7" t="s">
        <v>42</v>
      </c>
      <c r="H230" s="7" t="s">
        <v>43</v>
      </c>
      <c r="I230" s="7" t="s">
        <v>65</v>
      </c>
      <c r="J230" s="7" t="s">
        <v>129</v>
      </c>
      <c r="K230" s="9">
        <v>350</v>
      </c>
      <c r="L230" s="9">
        <v>330</v>
      </c>
    </row>
    <row r="231" spans="1:12" ht="18" customHeight="1" x14ac:dyDescent="0.35">
      <c r="A231" s="2" t="s">
        <v>547</v>
      </c>
      <c r="B231" s="3" t="s">
        <v>548</v>
      </c>
      <c r="C231" s="2">
        <v>46</v>
      </c>
      <c r="D231" s="2" t="s">
        <v>34</v>
      </c>
      <c r="E231" s="3" t="s">
        <v>35</v>
      </c>
      <c r="F231" s="4">
        <v>45415</v>
      </c>
      <c r="G231" s="3" t="s">
        <v>36</v>
      </c>
      <c r="H231" s="3" t="s">
        <v>81</v>
      </c>
      <c r="I231" s="3" t="s">
        <v>38</v>
      </c>
      <c r="J231" s="3" t="s">
        <v>133</v>
      </c>
      <c r="K231" s="5">
        <v>1000</v>
      </c>
      <c r="L231" s="5">
        <v>400</v>
      </c>
    </row>
    <row r="232" spans="1:12" ht="18" customHeight="1" x14ac:dyDescent="0.35">
      <c r="A232" s="6" t="s">
        <v>549</v>
      </c>
      <c r="B232" s="7" t="s">
        <v>550</v>
      </c>
      <c r="C232" s="6">
        <v>70</v>
      </c>
      <c r="D232" s="6" t="s">
        <v>15</v>
      </c>
      <c r="E232" s="7" t="s">
        <v>69</v>
      </c>
      <c r="F232" s="8">
        <v>45061</v>
      </c>
      <c r="G232" s="7" t="s">
        <v>48</v>
      </c>
      <c r="H232" s="7" t="s">
        <v>54</v>
      </c>
      <c r="I232" s="7" t="s">
        <v>151</v>
      </c>
      <c r="J232" s="7" t="s">
        <v>95</v>
      </c>
      <c r="K232" s="9">
        <v>550</v>
      </c>
      <c r="L232" s="9">
        <v>240</v>
      </c>
    </row>
    <row r="233" spans="1:12" ht="18" customHeight="1" x14ac:dyDescent="0.35">
      <c r="A233" s="2" t="s">
        <v>551</v>
      </c>
      <c r="B233" s="3" t="s">
        <v>552</v>
      </c>
      <c r="C233" s="2">
        <v>51</v>
      </c>
      <c r="D233" s="2" t="s">
        <v>15</v>
      </c>
      <c r="E233" s="3" t="s">
        <v>16</v>
      </c>
      <c r="F233" s="4">
        <v>45071</v>
      </c>
      <c r="G233" s="3" t="s">
        <v>17</v>
      </c>
      <c r="H233" s="3" t="s">
        <v>64</v>
      </c>
      <c r="I233" s="3" t="s">
        <v>19</v>
      </c>
      <c r="J233" s="3" t="s">
        <v>24</v>
      </c>
      <c r="K233" s="5">
        <v>1000</v>
      </c>
      <c r="L233" s="5">
        <v>680</v>
      </c>
    </row>
    <row r="234" spans="1:12" ht="18" customHeight="1" x14ac:dyDescent="0.35">
      <c r="A234" s="6" t="s">
        <v>553</v>
      </c>
      <c r="B234" s="7" t="s">
        <v>554</v>
      </c>
      <c r="C234" s="6">
        <v>44</v>
      </c>
      <c r="D234" s="6" t="s">
        <v>15</v>
      </c>
      <c r="E234" s="7" t="s">
        <v>35</v>
      </c>
      <c r="F234" s="8">
        <v>45421</v>
      </c>
      <c r="G234" s="7" t="s">
        <v>42</v>
      </c>
      <c r="H234" s="7" t="s">
        <v>89</v>
      </c>
      <c r="I234" s="7" t="s">
        <v>136</v>
      </c>
      <c r="J234" s="7" t="s">
        <v>197</v>
      </c>
      <c r="K234" s="9">
        <v>300</v>
      </c>
      <c r="L234" s="9">
        <v>340</v>
      </c>
    </row>
    <row r="235" spans="1:12" ht="18" customHeight="1" x14ac:dyDescent="0.35">
      <c r="A235" s="2" t="s">
        <v>555</v>
      </c>
      <c r="B235" s="3" t="s">
        <v>556</v>
      </c>
      <c r="C235" s="2">
        <v>31</v>
      </c>
      <c r="D235" s="2" t="s">
        <v>15</v>
      </c>
      <c r="E235" s="3" t="s">
        <v>35</v>
      </c>
      <c r="F235" s="4">
        <v>45367</v>
      </c>
      <c r="G235" s="3" t="s">
        <v>42</v>
      </c>
      <c r="H235" s="3" t="s">
        <v>70</v>
      </c>
      <c r="I235" s="3" t="s">
        <v>136</v>
      </c>
      <c r="J235" s="3" t="s">
        <v>86</v>
      </c>
      <c r="K235" s="5">
        <v>400</v>
      </c>
      <c r="L235" s="5">
        <v>100</v>
      </c>
    </row>
    <row r="236" spans="1:12" ht="18" customHeight="1" x14ac:dyDescent="0.35">
      <c r="A236" s="6" t="s">
        <v>557</v>
      </c>
      <c r="B236" s="7" t="s">
        <v>558</v>
      </c>
      <c r="C236" s="6">
        <v>70</v>
      </c>
      <c r="D236" s="6" t="s">
        <v>15</v>
      </c>
      <c r="E236" s="7" t="s">
        <v>107</v>
      </c>
      <c r="F236" s="8">
        <v>45363</v>
      </c>
      <c r="G236" s="7" t="s">
        <v>42</v>
      </c>
      <c r="H236" s="7" t="s">
        <v>89</v>
      </c>
      <c r="I236" s="7" t="s">
        <v>128</v>
      </c>
      <c r="J236" s="7" t="s">
        <v>72</v>
      </c>
      <c r="K236" s="9">
        <v>350</v>
      </c>
      <c r="L236" s="9">
        <v>340</v>
      </c>
    </row>
    <row r="237" spans="1:12" ht="18" customHeight="1" x14ac:dyDescent="0.35">
      <c r="A237" s="2" t="s">
        <v>559</v>
      </c>
      <c r="B237" s="3" t="s">
        <v>560</v>
      </c>
      <c r="C237" s="2">
        <v>5</v>
      </c>
      <c r="D237" s="2" t="s">
        <v>15</v>
      </c>
      <c r="E237" s="3" t="s">
        <v>107</v>
      </c>
      <c r="F237" s="4">
        <v>44961</v>
      </c>
      <c r="G237" s="3" t="s">
        <v>42</v>
      </c>
      <c r="H237" s="3" t="s">
        <v>89</v>
      </c>
      <c r="I237" s="3" t="s">
        <v>128</v>
      </c>
      <c r="J237" s="3" t="s">
        <v>90</v>
      </c>
      <c r="K237" s="5">
        <v>450</v>
      </c>
      <c r="L237" s="5">
        <v>360</v>
      </c>
    </row>
    <row r="238" spans="1:12" ht="18" customHeight="1" x14ac:dyDescent="0.35">
      <c r="A238" s="6" t="s">
        <v>561</v>
      </c>
      <c r="B238" s="7" t="s">
        <v>562</v>
      </c>
      <c r="C238" s="6">
        <v>60</v>
      </c>
      <c r="D238" s="6" t="s">
        <v>34</v>
      </c>
      <c r="E238" s="7" t="s">
        <v>27</v>
      </c>
      <c r="F238" s="8">
        <v>45524</v>
      </c>
      <c r="G238" s="7" t="s">
        <v>17</v>
      </c>
      <c r="H238" s="7" t="s">
        <v>23</v>
      </c>
      <c r="I238" s="7" t="s">
        <v>192</v>
      </c>
      <c r="J238" s="7" t="s">
        <v>148</v>
      </c>
      <c r="K238" s="9">
        <v>900</v>
      </c>
      <c r="L238" s="9">
        <v>570</v>
      </c>
    </row>
    <row r="239" spans="1:12" ht="18" customHeight="1" x14ac:dyDescent="0.35">
      <c r="A239" s="2" t="s">
        <v>563</v>
      </c>
      <c r="B239" s="3" t="s">
        <v>564</v>
      </c>
      <c r="C239" s="2">
        <v>55</v>
      </c>
      <c r="D239" s="2" t="s">
        <v>34</v>
      </c>
      <c r="E239" s="3" t="s">
        <v>80</v>
      </c>
      <c r="F239" s="4">
        <v>45482</v>
      </c>
      <c r="G239" s="3" t="s">
        <v>42</v>
      </c>
      <c r="H239" s="3" t="s">
        <v>70</v>
      </c>
      <c r="I239" s="3" t="s">
        <v>65</v>
      </c>
      <c r="J239" s="3" t="s">
        <v>129</v>
      </c>
      <c r="K239" s="5">
        <v>350</v>
      </c>
      <c r="L239" s="5">
        <v>190</v>
      </c>
    </row>
    <row r="240" spans="1:12" ht="18" customHeight="1" x14ac:dyDescent="0.35">
      <c r="A240" s="6" t="s">
        <v>565</v>
      </c>
      <c r="B240" s="7" t="s">
        <v>566</v>
      </c>
      <c r="C240" s="6">
        <v>33</v>
      </c>
      <c r="D240" s="6" t="s">
        <v>34</v>
      </c>
      <c r="E240" s="7" t="s">
        <v>80</v>
      </c>
      <c r="F240" s="8">
        <v>45622</v>
      </c>
      <c r="G240" s="7" t="s">
        <v>42</v>
      </c>
      <c r="H240" s="7" t="s">
        <v>43</v>
      </c>
      <c r="I240" s="7" t="s">
        <v>71</v>
      </c>
      <c r="J240" s="7" t="s">
        <v>72</v>
      </c>
      <c r="K240" s="9">
        <v>350</v>
      </c>
      <c r="L240" s="9">
        <v>360</v>
      </c>
    </row>
    <row r="241" spans="1:12" ht="18" customHeight="1" x14ac:dyDescent="0.35">
      <c r="A241" s="2" t="s">
        <v>567</v>
      </c>
      <c r="B241" s="3" t="s">
        <v>568</v>
      </c>
      <c r="C241" s="2">
        <v>37</v>
      </c>
      <c r="D241" s="2" t="s">
        <v>34</v>
      </c>
      <c r="E241" s="3" t="s">
        <v>69</v>
      </c>
      <c r="F241" s="4">
        <v>45362</v>
      </c>
      <c r="G241" s="3" t="s">
        <v>28</v>
      </c>
      <c r="H241" s="3" t="s">
        <v>29</v>
      </c>
      <c r="I241" s="3" t="s">
        <v>110</v>
      </c>
      <c r="J241" s="3" t="s">
        <v>31</v>
      </c>
      <c r="K241" s="5">
        <v>650</v>
      </c>
      <c r="L241" s="5">
        <v>220</v>
      </c>
    </row>
    <row r="242" spans="1:12" ht="18" customHeight="1" x14ac:dyDescent="0.35">
      <c r="A242" s="6" t="s">
        <v>569</v>
      </c>
      <c r="B242" s="7" t="s">
        <v>570</v>
      </c>
      <c r="C242" s="6">
        <v>42</v>
      </c>
      <c r="D242" s="6" t="s">
        <v>15</v>
      </c>
      <c r="E242" s="7" t="s">
        <v>16</v>
      </c>
      <c r="F242" s="8">
        <v>45341</v>
      </c>
      <c r="G242" s="7" t="s">
        <v>42</v>
      </c>
      <c r="H242" s="7" t="s">
        <v>89</v>
      </c>
      <c r="I242" s="7" t="s">
        <v>44</v>
      </c>
      <c r="J242" s="7" t="s">
        <v>45</v>
      </c>
      <c r="K242" s="9">
        <v>300</v>
      </c>
      <c r="L242" s="9">
        <v>120</v>
      </c>
    </row>
    <row r="243" spans="1:12" ht="18" customHeight="1" x14ac:dyDescent="0.35">
      <c r="A243" s="2" t="s">
        <v>571</v>
      </c>
      <c r="B243" s="3" t="s">
        <v>572</v>
      </c>
      <c r="C243" s="2">
        <v>32</v>
      </c>
      <c r="D243" s="2" t="s">
        <v>34</v>
      </c>
      <c r="E243" s="3" t="s">
        <v>16</v>
      </c>
      <c r="F243" s="4">
        <v>45072</v>
      </c>
      <c r="G243" s="3" t="s">
        <v>42</v>
      </c>
      <c r="H243" s="3" t="s">
        <v>89</v>
      </c>
      <c r="I243" s="3" t="s">
        <v>65</v>
      </c>
      <c r="J243" s="3" t="s">
        <v>129</v>
      </c>
      <c r="K243" s="5">
        <v>350</v>
      </c>
      <c r="L243" s="5">
        <v>190</v>
      </c>
    </row>
    <row r="244" spans="1:12" ht="18" customHeight="1" x14ac:dyDescent="0.35">
      <c r="A244" s="6" t="s">
        <v>573</v>
      </c>
      <c r="B244" s="7" t="s">
        <v>574</v>
      </c>
      <c r="C244" s="6">
        <v>33</v>
      </c>
      <c r="D244" s="6" t="s">
        <v>15</v>
      </c>
      <c r="E244" s="7" t="s">
        <v>107</v>
      </c>
      <c r="F244" s="8">
        <v>45384</v>
      </c>
      <c r="G244" s="7" t="s">
        <v>36</v>
      </c>
      <c r="H244" s="7" t="s">
        <v>37</v>
      </c>
      <c r="I244" s="7" t="s">
        <v>104</v>
      </c>
      <c r="J244" s="7" t="s">
        <v>133</v>
      </c>
      <c r="K244" s="9">
        <v>850</v>
      </c>
      <c r="L244" s="9">
        <v>690</v>
      </c>
    </row>
    <row r="245" spans="1:12" ht="18" customHeight="1" x14ac:dyDescent="0.35">
      <c r="A245" s="2" t="s">
        <v>575</v>
      </c>
      <c r="B245" s="3" t="s">
        <v>576</v>
      </c>
      <c r="C245" s="2">
        <v>35</v>
      </c>
      <c r="D245" s="2" t="s">
        <v>15</v>
      </c>
      <c r="E245" s="3" t="s">
        <v>27</v>
      </c>
      <c r="F245" s="4">
        <v>45087</v>
      </c>
      <c r="G245" s="3" t="s">
        <v>48</v>
      </c>
      <c r="H245" s="3" t="s">
        <v>49</v>
      </c>
      <c r="I245" s="3" t="s">
        <v>55</v>
      </c>
      <c r="J245" s="3" t="s">
        <v>56</v>
      </c>
      <c r="K245" s="5">
        <v>550</v>
      </c>
      <c r="L245" s="5">
        <v>480</v>
      </c>
    </row>
    <row r="246" spans="1:12" ht="18" customHeight="1" x14ac:dyDescent="0.35">
      <c r="A246" s="6" t="s">
        <v>577</v>
      </c>
      <c r="B246" s="7" t="s">
        <v>578</v>
      </c>
      <c r="C246" s="6">
        <v>61</v>
      </c>
      <c r="D246" s="6" t="s">
        <v>15</v>
      </c>
      <c r="E246" s="7" t="s">
        <v>80</v>
      </c>
      <c r="F246" s="8">
        <v>45373</v>
      </c>
      <c r="G246" s="7" t="s">
        <v>17</v>
      </c>
      <c r="H246" s="7" t="s">
        <v>64</v>
      </c>
      <c r="I246" s="7" t="s">
        <v>65</v>
      </c>
      <c r="J246" s="7" t="s">
        <v>20</v>
      </c>
      <c r="K246" s="9">
        <v>850</v>
      </c>
      <c r="L246" s="9">
        <v>730</v>
      </c>
    </row>
    <row r="247" spans="1:12" ht="18" customHeight="1" x14ac:dyDescent="0.35">
      <c r="A247" s="2" t="s">
        <v>579</v>
      </c>
      <c r="B247" s="3" t="s">
        <v>580</v>
      </c>
      <c r="C247" s="2">
        <v>32</v>
      </c>
      <c r="D247" s="2" t="s">
        <v>15</v>
      </c>
      <c r="E247" s="3" t="s">
        <v>35</v>
      </c>
      <c r="F247" s="4">
        <v>45005</v>
      </c>
      <c r="G247" s="3" t="s">
        <v>42</v>
      </c>
      <c r="H247" s="3" t="s">
        <v>43</v>
      </c>
      <c r="I247" s="3" t="s">
        <v>128</v>
      </c>
      <c r="J247" s="3" t="s">
        <v>90</v>
      </c>
      <c r="K247" s="5">
        <v>400</v>
      </c>
      <c r="L247" s="5">
        <v>190</v>
      </c>
    </row>
    <row r="248" spans="1:12" ht="18" customHeight="1" x14ac:dyDescent="0.35">
      <c r="A248" s="6" t="s">
        <v>581</v>
      </c>
      <c r="B248" s="7" t="s">
        <v>582</v>
      </c>
      <c r="C248" s="6">
        <v>72</v>
      </c>
      <c r="D248" s="6" t="s">
        <v>15</v>
      </c>
      <c r="E248" s="7" t="s">
        <v>80</v>
      </c>
      <c r="F248" s="8">
        <v>45356</v>
      </c>
      <c r="G248" s="7" t="s">
        <v>36</v>
      </c>
      <c r="H248" s="7" t="s">
        <v>37</v>
      </c>
      <c r="I248" s="7" t="s">
        <v>38</v>
      </c>
      <c r="J248" s="7" t="s">
        <v>39</v>
      </c>
      <c r="K248" s="9">
        <v>750</v>
      </c>
      <c r="L248" s="9">
        <v>650</v>
      </c>
    </row>
    <row r="249" spans="1:12" ht="18" customHeight="1" x14ac:dyDescent="0.35">
      <c r="A249" s="2" t="s">
        <v>583</v>
      </c>
      <c r="B249" s="3" t="s">
        <v>584</v>
      </c>
      <c r="C249" s="2">
        <v>23</v>
      </c>
      <c r="D249" s="2" t="s">
        <v>15</v>
      </c>
      <c r="E249" s="3" t="s">
        <v>35</v>
      </c>
      <c r="F249" s="4">
        <v>45103</v>
      </c>
      <c r="G249" s="3" t="s">
        <v>28</v>
      </c>
      <c r="H249" s="3" t="s">
        <v>59</v>
      </c>
      <c r="I249" s="3" t="s">
        <v>30</v>
      </c>
      <c r="J249" s="3" t="s">
        <v>298</v>
      </c>
      <c r="K249" s="5">
        <v>600</v>
      </c>
      <c r="L249" s="5">
        <v>280</v>
      </c>
    </row>
    <row r="250" spans="1:12" ht="18" customHeight="1" x14ac:dyDescent="0.35">
      <c r="A250" s="6" t="s">
        <v>585</v>
      </c>
      <c r="B250" s="7" t="s">
        <v>586</v>
      </c>
      <c r="C250" s="6">
        <v>56</v>
      </c>
      <c r="D250" s="6" t="s">
        <v>15</v>
      </c>
      <c r="E250" s="7" t="s">
        <v>16</v>
      </c>
      <c r="F250" s="8">
        <v>45098</v>
      </c>
      <c r="G250" s="7" t="s">
        <v>28</v>
      </c>
      <c r="H250" s="7" t="s">
        <v>59</v>
      </c>
      <c r="I250" s="7" t="s">
        <v>60</v>
      </c>
      <c r="J250" s="7" t="s">
        <v>31</v>
      </c>
      <c r="K250" s="9">
        <v>500</v>
      </c>
      <c r="L250" s="9">
        <v>240</v>
      </c>
    </row>
    <row r="251" spans="1:12" ht="18" customHeight="1" x14ac:dyDescent="0.35">
      <c r="A251" s="2" t="s">
        <v>587</v>
      </c>
      <c r="B251" s="3" t="s">
        <v>588</v>
      </c>
      <c r="C251" s="2">
        <v>64</v>
      </c>
      <c r="D251" s="2" t="s">
        <v>34</v>
      </c>
      <c r="E251" s="3" t="s">
        <v>80</v>
      </c>
      <c r="F251" s="4">
        <v>45426</v>
      </c>
      <c r="G251" s="3" t="s">
        <v>48</v>
      </c>
      <c r="H251" s="3" t="s">
        <v>54</v>
      </c>
      <c r="I251" s="3" t="s">
        <v>257</v>
      </c>
      <c r="J251" s="3" t="s">
        <v>51</v>
      </c>
      <c r="K251" s="5">
        <v>850</v>
      </c>
      <c r="L251" s="5">
        <v>190</v>
      </c>
    </row>
    <row r="252" spans="1:12" ht="18" customHeight="1" x14ac:dyDescent="0.35">
      <c r="A252" s="6" t="s">
        <v>589</v>
      </c>
      <c r="B252" s="7" t="s">
        <v>590</v>
      </c>
      <c r="C252" s="6">
        <v>4</v>
      </c>
      <c r="D252" s="6" t="s">
        <v>34</v>
      </c>
      <c r="E252" s="7" t="s">
        <v>80</v>
      </c>
      <c r="F252" s="8">
        <v>44967</v>
      </c>
      <c r="G252" s="7" t="s">
        <v>17</v>
      </c>
      <c r="H252" s="7" t="s">
        <v>18</v>
      </c>
      <c r="I252" s="7" t="s">
        <v>65</v>
      </c>
      <c r="J252" s="7" t="s">
        <v>66</v>
      </c>
      <c r="K252" s="9">
        <v>750</v>
      </c>
      <c r="L252" s="9">
        <v>380</v>
      </c>
    </row>
    <row r="253" spans="1:12" ht="18" customHeight="1" x14ac:dyDescent="0.35">
      <c r="A253" s="2" t="s">
        <v>591</v>
      </c>
      <c r="B253" s="3" t="s">
        <v>592</v>
      </c>
      <c r="C253" s="2">
        <v>13</v>
      </c>
      <c r="D253" s="2" t="s">
        <v>34</v>
      </c>
      <c r="E253" s="3" t="s">
        <v>80</v>
      </c>
      <c r="F253" s="4">
        <v>45329</v>
      </c>
      <c r="G253" s="3" t="s">
        <v>17</v>
      </c>
      <c r="H253" s="3" t="s">
        <v>64</v>
      </c>
      <c r="I253" s="3" t="s">
        <v>19</v>
      </c>
      <c r="J253" s="3" t="s">
        <v>24</v>
      </c>
      <c r="K253" s="5">
        <v>1150</v>
      </c>
      <c r="L253" s="5">
        <v>370</v>
      </c>
    </row>
    <row r="254" spans="1:12" ht="18" customHeight="1" x14ac:dyDescent="0.35">
      <c r="A254" s="6" t="s">
        <v>593</v>
      </c>
      <c r="B254" s="7" t="s">
        <v>594</v>
      </c>
      <c r="C254" s="6">
        <v>74</v>
      </c>
      <c r="D254" s="6" t="s">
        <v>34</v>
      </c>
      <c r="E254" s="7" t="s">
        <v>35</v>
      </c>
      <c r="F254" s="8">
        <v>45132</v>
      </c>
      <c r="G254" s="7" t="s">
        <v>17</v>
      </c>
      <c r="H254" s="7" t="s">
        <v>18</v>
      </c>
      <c r="I254" s="7" t="s">
        <v>192</v>
      </c>
      <c r="J254" s="7" t="s">
        <v>66</v>
      </c>
      <c r="K254" s="9">
        <v>1000</v>
      </c>
      <c r="L254" s="9">
        <v>490</v>
      </c>
    </row>
    <row r="255" spans="1:12" ht="18" customHeight="1" x14ac:dyDescent="0.35">
      <c r="A255" s="2" t="s">
        <v>595</v>
      </c>
      <c r="B255" s="3" t="s">
        <v>596</v>
      </c>
      <c r="C255" s="2">
        <v>51</v>
      </c>
      <c r="D255" s="2" t="s">
        <v>15</v>
      </c>
      <c r="E255" s="3" t="s">
        <v>80</v>
      </c>
      <c r="F255" s="4">
        <v>45276</v>
      </c>
      <c r="G255" s="3" t="s">
        <v>42</v>
      </c>
      <c r="H255" s="3" t="s">
        <v>89</v>
      </c>
      <c r="I255" s="3" t="s">
        <v>85</v>
      </c>
      <c r="J255" s="3" t="s">
        <v>119</v>
      </c>
      <c r="K255" s="5">
        <v>400</v>
      </c>
      <c r="L255" s="5">
        <v>260</v>
      </c>
    </row>
    <row r="256" spans="1:12" ht="18" customHeight="1" x14ac:dyDescent="0.35">
      <c r="A256" s="6" t="s">
        <v>597</v>
      </c>
      <c r="B256" s="7" t="s">
        <v>598</v>
      </c>
      <c r="C256" s="6">
        <v>64</v>
      </c>
      <c r="D256" s="6" t="s">
        <v>34</v>
      </c>
      <c r="E256" s="7" t="s">
        <v>27</v>
      </c>
      <c r="F256" s="8">
        <v>44995</v>
      </c>
      <c r="G256" s="7" t="s">
        <v>42</v>
      </c>
      <c r="H256" s="7" t="s">
        <v>43</v>
      </c>
      <c r="I256" s="7" t="s">
        <v>44</v>
      </c>
      <c r="J256" s="7" t="s">
        <v>119</v>
      </c>
      <c r="K256" s="9">
        <v>500</v>
      </c>
      <c r="L256" s="9">
        <v>380</v>
      </c>
    </row>
    <row r="257" spans="1:12" ht="18" customHeight="1" x14ac:dyDescent="0.35">
      <c r="A257" s="2" t="s">
        <v>599</v>
      </c>
      <c r="B257" s="3" t="s">
        <v>600</v>
      </c>
      <c r="C257" s="2">
        <v>36</v>
      </c>
      <c r="D257" s="2" t="s">
        <v>15</v>
      </c>
      <c r="E257" s="3" t="s">
        <v>80</v>
      </c>
      <c r="F257" s="4">
        <v>44960</v>
      </c>
      <c r="G257" s="3" t="s">
        <v>36</v>
      </c>
      <c r="H257" s="3" t="s">
        <v>75</v>
      </c>
      <c r="I257" s="3" t="s">
        <v>144</v>
      </c>
      <c r="J257" s="3" t="s">
        <v>39</v>
      </c>
      <c r="K257" s="5">
        <v>850</v>
      </c>
      <c r="L257" s="5">
        <v>640</v>
      </c>
    </row>
    <row r="258" spans="1:12" ht="18" customHeight="1" x14ac:dyDescent="0.35">
      <c r="A258" s="6" t="s">
        <v>601</v>
      </c>
      <c r="B258" s="7" t="s">
        <v>602</v>
      </c>
      <c r="C258" s="6">
        <v>14</v>
      </c>
      <c r="D258" s="6" t="s">
        <v>34</v>
      </c>
      <c r="E258" s="7" t="s">
        <v>80</v>
      </c>
      <c r="F258" s="8">
        <v>45007</v>
      </c>
      <c r="G258" s="7" t="s">
        <v>48</v>
      </c>
      <c r="H258" s="7" t="s">
        <v>54</v>
      </c>
      <c r="I258" s="7" t="s">
        <v>151</v>
      </c>
      <c r="J258" s="7" t="s">
        <v>114</v>
      </c>
      <c r="K258" s="9">
        <v>800</v>
      </c>
      <c r="L258" s="9">
        <v>450</v>
      </c>
    </row>
    <row r="259" spans="1:12" ht="18" customHeight="1" x14ac:dyDescent="0.35">
      <c r="A259" s="2" t="s">
        <v>603</v>
      </c>
      <c r="B259" s="3" t="s">
        <v>604</v>
      </c>
      <c r="C259" s="2">
        <v>54</v>
      </c>
      <c r="D259" s="2" t="s">
        <v>15</v>
      </c>
      <c r="E259" s="3" t="s">
        <v>27</v>
      </c>
      <c r="F259" s="4">
        <v>45019</v>
      </c>
      <c r="G259" s="3" t="s">
        <v>42</v>
      </c>
      <c r="H259" s="3" t="s">
        <v>89</v>
      </c>
      <c r="I259" s="3" t="s">
        <v>85</v>
      </c>
      <c r="J259" s="3" t="s">
        <v>86</v>
      </c>
      <c r="K259" s="5">
        <v>300</v>
      </c>
      <c r="L259" s="5">
        <v>160</v>
      </c>
    </row>
    <row r="260" spans="1:12" ht="18" customHeight="1" x14ac:dyDescent="0.35">
      <c r="A260" s="6" t="s">
        <v>605</v>
      </c>
      <c r="B260" s="7" t="s">
        <v>606</v>
      </c>
      <c r="C260" s="6">
        <v>53</v>
      </c>
      <c r="D260" s="6" t="s">
        <v>15</v>
      </c>
      <c r="E260" s="7" t="s">
        <v>35</v>
      </c>
      <c r="F260" s="8">
        <v>45061</v>
      </c>
      <c r="G260" s="7" t="s">
        <v>42</v>
      </c>
      <c r="H260" s="7" t="s">
        <v>89</v>
      </c>
      <c r="I260" s="7" t="s">
        <v>110</v>
      </c>
      <c r="J260" s="7" t="s">
        <v>197</v>
      </c>
      <c r="K260" s="9">
        <v>350</v>
      </c>
      <c r="L260" s="9">
        <v>190</v>
      </c>
    </row>
    <row r="261" spans="1:12" ht="18" customHeight="1" x14ac:dyDescent="0.35">
      <c r="A261" s="2" t="s">
        <v>607</v>
      </c>
      <c r="B261" s="3" t="s">
        <v>608</v>
      </c>
      <c r="C261" s="2">
        <v>45</v>
      </c>
      <c r="D261" s="2" t="s">
        <v>34</v>
      </c>
      <c r="E261" s="3" t="s">
        <v>107</v>
      </c>
      <c r="F261" s="4">
        <v>45125</v>
      </c>
      <c r="G261" s="3" t="s">
        <v>48</v>
      </c>
      <c r="H261" s="3" t="s">
        <v>49</v>
      </c>
      <c r="I261" s="3" t="s">
        <v>257</v>
      </c>
      <c r="J261" s="3" t="s">
        <v>95</v>
      </c>
      <c r="K261" s="5">
        <v>650</v>
      </c>
      <c r="L261" s="5">
        <v>370</v>
      </c>
    </row>
    <row r="262" spans="1:12" ht="18" customHeight="1" x14ac:dyDescent="0.35">
      <c r="A262" s="6" t="s">
        <v>609</v>
      </c>
      <c r="B262" s="7" t="s">
        <v>610</v>
      </c>
      <c r="C262" s="6">
        <v>20</v>
      </c>
      <c r="D262" s="6" t="s">
        <v>34</v>
      </c>
      <c r="E262" s="7" t="s">
        <v>80</v>
      </c>
      <c r="F262" s="8">
        <v>45280</v>
      </c>
      <c r="G262" s="7" t="s">
        <v>42</v>
      </c>
      <c r="H262" s="7" t="s">
        <v>89</v>
      </c>
      <c r="I262" s="7" t="s">
        <v>110</v>
      </c>
      <c r="J262" s="7" t="s">
        <v>72</v>
      </c>
      <c r="K262" s="9">
        <v>350</v>
      </c>
      <c r="L262" s="9">
        <v>100</v>
      </c>
    </row>
    <row r="263" spans="1:12" ht="18" customHeight="1" x14ac:dyDescent="0.35">
      <c r="A263" s="2" t="s">
        <v>611</v>
      </c>
      <c r="B263" s="3" t="s">
        <v>612</v>
      </c>
      <c r="C263" s="2">
        <v>49</v>
      </c>
      <c r="D263" s="2" t="s">
        <v>34</v>
      </c>
      <c r="E263" s="3" t="s">
        <v>16</v>
      </c>
      <c r="F263" s="4">
        <v>45190</v>
      </c>
      <c r="G263" s="3" t="s">
        <v>17</v>
      </c>
      <c r="H263" s="3" t="s">
        <v>23</v>
      </c>
      <c r="I263" s="3" t="s">
        <v>154</v>
      </c>
      <c r="J263" s="3" t="s">
        <v>66</v>
      </c>
      <c r="K263" s="5">
        <v>1150</v>
      </c>
      <c r="L263" s="5">
        <v>760</v>
      </c>
    </row>
    <row r="264" spans="1:12" ht="18" customHeight="1" x14ac:dyDescent="0.35">
      <c r="A264" s="6" t="s">
        <v>613</v>
      </c>
      <c r="B264" s="7" t="s">
        <v>614</v>
      </c>
      <c r="C264" s="6">
        <v>70</v>
      </c>
      <c r="D264" s="6" t="s">
        <v>15</v>
      </c>
      <c r="E264" s="7" t="s">
        <v>27</v>
      </c>
      <c r="F264" s="8">
        <v>45461</v>
      </c>
      <c r="G264" s="7" t="s">
        <v>48</v>
      </c>
      <c r="H264" s="7" t="s">
        <v>49</v>
      </c>
      <c r="I264" s="7" t="s">
        <v>94</v>
      </c>
      <c r="J264" s="7" t="s">
        <v>56</v>
      </c>
      <c r="K264" s="9">
        <v>600</v>
      </c>
      <c r="L264" s="9">
        <v>490</v>
      </c>
    </row>
    <row r="265" spans="1:12" ht="18" customHeight="1" x14ac:dyDescent="0.35">
      <c r="A265" s="2" t="s">
        <v>615</v>
      </c>
      <c r="B265" s="3" t="s">
        <v>616</v>
      </c>
      <c r="C265" s="2">
        <v>42</v>
      </c>
      <c r="D265" s="2" t="s">
        <v>15</v>
      </c>
      <c r="E265" s="3" t="s">
        <v>27</v>
      </c>
      <c r="F265" s="4">
        <v>45059</v>
      </c>
      <c r="G265" s="3" t="s">
        <v>17</v>
      </c>
      <c r="H265" s="3" t="s">
        <v>23</v>
      </c>
      <c r="I265" s="3" t="s">
        <v>19</v>
      </c>
      <c r="J265" s="3" t="s">
        <v>226</v>
      </c>
      <c r="K265" s="5">
        <v>1050</v>
      </c>
      <c r="L265" s="5">
        <v>780</v>
      </c>
    </row>
    <row r="266" spans="1:12" ht="18" customHeight="1" x14ac:dyDescent="0.35">
      <c r="A266" s="6" t="s">
        <v>617</v>
      </c>
      <c r="B266" s="7" t="s">
        <v>618</v>
      </c>
      <c r="C266" s="6">
        <v>64</v>
      </c>
      <c r="D266" s="6" t="s">
        <v>34</v>
      </c>
      <c r="E266" s="7" t="s">
        <v>27</v>
      </c>
      <c r="F266" s="8">
        <v>45478</v>
      </c>
      <c r="G266" s="7" t="s">
        <v>42</v>
      </c>
      <c r="H266" s="7" t="s">
        <v>70</v>
      </c>
      <c r="I266" s="7" t="s">
        <v>128</v>
      </c>
      <c r="J266" s="7" t="s">
        <v>45</v>
      </c>
      <c r="K266" s="9">
        <v>300</v>
      </c>
      <c r="L266" s="9">
        <v>220</v>
      </c>
    </row>
    <row r="267" spans="1:12" ht="18" customHeight="1" x14ac:dyDescent="0.35">
      <c r="A267" s="2" t="s">
        <v>619</v>
      </c>
      <c r="B267" s="3" t="s">
        <v>620</v>
      </c>
      <c r="C267" s="2">
        <v>18</v>
      </c>
      <c r="D267" s="2" t="s">
        <v>15</v>
      </c>
      <c r="E267" s="3" t="s">
        <v>80</v>
      </c>
      <c r="F267" s="4">
        <v>45616</v>
      </c>
      <c r="G267" s="3" t="s">
        <v>42</v>
      </c>
      <c r="H267" s="3" t="s">
        <v>43</v>
      </c>
      <c r="I267" s="3" t="s">
        <v>128</v>
      </c>
      <c r="J267" s="3" t="s">
        <v>197</v>
      </c>
      <c r="K267" s="5">
        <v>350</v>
      </c>
      <c r="L267" s="5">
        <v>160</v>
      </c>
    </row>
    <row r="268" spans="1:12" ht="18" customHeight="1" x14ac:dyDescent="0.35">
      <c r="A268" s="6" t="s">
        <v>621</v>
      </c>
      <c r="B268" s="7" t="s">
        <v>622</v>
      </c>
      <c r="C268" s="6">
        <v>41</v>
      </c>
      <c r="D268" s="6" t="s">
        <v>34</v>
      </c>
      <c r="E268" s="7" t="s">
        <v>107</v>
      </c>
      <c r="F268" s="8">
        <v>45481</v>
      </c>
      <c r="G268" s="7" t="s">
        <v>36</v>
      </c>
      <c r="H268" s="7" t="s">
        <v>37</v>
      </c>
      <c r="I268" s="7" t="s">
        <v>144</v>
      </c>
      <c r="J268" s="7" t="s">
        <v>189</v>
      </c>
      <c r="K268" s="9">
        <v>950</v>
      </c>
      <c r="L268" s="9">
        <v>660</v>
      </c>
    </row>
    <row r="269" spans="1:12" ht="18" customHeight="1" x14ac:dyDescent="0.35">
      <c r="A269" s="2" t="s">
        <v>623</v>
      </c>
      <c r="B269" s="3" t="s">
        <v>624</v>
      </c>
      <c r="C269" s="2">
        <v>50</v>
      </c>
      <c r="D269" s="2" t="s">
        <v>15</v>
      </c>
      <c r="E269" s="3" t="s">
        <v>35</v>
      </c>
      <c r="F269" s="4">
        <v>45570</v>
      </c>
      <c r="G269" s="3" t="s">
        <v>42</v>
      </c>
      <c r="H269" s="3" t="s">
        <v>43</v>
      </c>
      <c r="I269" s="3" t="s">
        <v>128</v>
      </c>
      <c r="J269" s="3" t="s">
        <v>45</v>
      </c>
      <c r="K269" s="5">
        <v>350</v>
      </c>
      <c r="L269" s="5">
        <v>250</v>
      </c>
    </row>
    <row r="270" spans="1:12" ht="18" customHeight="1" x14ac:dyDescent="0.35">
      <c r="A270" s="6" t="s">
        <v>625</v>
      </c>
      <c r="B270" s="7" t="s">
        <v>626</v>
      </c>
      <c r="C270" s="6">
        <v>15</v>
      </c>
      <c r="D270" s="6" t="s">
        <v>15</v>
      </c>
      <c r="E270" s="7" t="s">
        <v>107</v>
      </c>
      <c r="F270" s="8">
        <v>45153</v>
      </c>
      <c r="G270" s="7" t="s">
        <v>48</v>
      </c>
      <c r="H270" s="7" t="s">
        <v>54</v>
      </c>
      <c r="I270" s="7" t="s">
        <v>50</v>
      </c>
      <c r="J270" s="7" t="s">
        <v>114</v>
      </c>
      <c r="K270" s="9">
        <v>600</v>
      </c>
      <c r="L270" s="9">
        <v>500</v>
      </c>
    </row>
    <row r="271" spans="1:12" ht="18" customHeight="1" x14ac:dyDescent="0.35">
      <c r="A271" s="2" t="s">
        <v>627</v>
      </c>
      <c r="B271" s="3" t="s">
        <v>628</v>
      </c>
      <c r="C271" s="2">
        <v>50</v>
      </c>
      <c r="D271" s="2" t="s">
        <v>15</v>
      </c>
      <c r="E271" s="3" t="s">
        <v>16</v>
      </c>
      <c r="F271" s="4">
        <v>45268</v>
      </c>
      <c r="G271" s="3" t="s">
        <v>48</v>
      </c>
      <c r="H271" s="3" t="s">
        <v>93</v>
      </c>
      <c r="I271" s="3" t="s">
        <v>94</v>
      </c>
      <c r="J271" s="3" t="s">
        <v>114</v>
      </c>
      <c r="K271" s="5">
        <v>600</v>
      </c>
      <c r="L271" s="5">
        <v>400</v>
      </c>
    </row>
    <row r="272" spans="1:12" ht="18" customHeight="1" x14ac:dyDescent="0.35">
      <c r="A272" s="6" t="s">
        <v>629</v>
      </c>
      <c r="B272" s="7" t="s">
        <v>630</v>
      </c>
      <c r="C272" s="6">
        <v>48</v>
      </c>
      <c r="D272" s="6" t="s">
        <v>34</v>
      </c>
      <c r="E272" s="7" t="s">
        <v>27</v>
      </c>
      <c r="F272" s="8">
        <v>45013</v>
      </c>
      <c r="G272" s="7" t="s">
        <v>17</v>
      </c>
      <c r="H272" s="7" t="s">
        <v>23</v>
      </c>
      <c r="I272" s="7" t="s">
        <v>147</v>
      </c>
      <c r="J272" s="7" t="s">
        <v>24</v>
      </c>
      <c r="K272" s="9">
        <v>1000</v>
      </c>
      <c r="L272" s="9">
        <v>610</v>
      </c>
    </row>
    <row r="273" spans="1:12" ht="18" customHeight="1" x14ac:dyDescent="0.35">
      <c r="A273" s="2" t="s">
        <v>631</v>
      </c>
      <c r="B273" s="3" t="s">
        <v>632</v>
      </c>
      <c r="C273" s="2">
        <v>70</v>
      </c>
      <c r="D273" s="2" t="s">
        <v>15</v>
      </c>
      <c r="E273" s="3" t="s">
        <v>27</v>
      </c>
      <c r="F273" s="4">
        <v>45090</v>
      </c>
      <c r="G273" s="3" t="s">
        <v>17</v>
      </c>
      <c r="H273" s="3" t="s">
        <v>23</v>
      </c>
      <c r="I273" s="3" t="s">
        <v>65</v>
      </c>
      <c r="J273" s="3" t="s">
        <v>148</v>
      </c>
      <c r="K273" s="5">
        <v>1150</v>
      </c>
      <c r="L273" s="5">
        <v>760</v>
      </c>
    </row>
    <row r="274" spans="1:12" ht="18" customHeight="1" x14ac:dyDescent="0.35">
      <c r="A274" s="6" t="s">
        <v>633</v>
      </c>
      <c r="B274" s="7" t="s">
        <v>634</v>
      </c>
      <c r="C274" s="6">
        <v>42</v>
      </c>
      <c r="D274" s="6" t="s">
        <v>15</v>
      </c>
      <c r="E274" s="7" t="s">
        <v>35</v>
      </c>
      <c r="F274" s="8">
        <v>45459</v>
      </c>
      <c r="G274" s="7" t="s">
        <v>17</v>
      </c>
      <c r="H274" s="7" t="s">
        <v>64</v>
      </c>
      <c r="I274" s="7" t="s">
        <v>19</v>
      </c>
      <c r="J274" s="7" t="s">
        <v>66</v>
      </c>
      <c r="K274" s="9">
        <v>1050</v>
      </c>
      <c r="L274" s="9">
        <v>430</v>
      </c>
    </row>
    <row r="275" spans="1:12" ht="18" customHeight="1" x14ac:dyDescent="0.35">
      <c r="A275" s="2" t="s">
        <v>635</v>
      </c>
      <c r="B275" s="3" t="s">
        <v>636</v>
      </c>
      <c r="C275" s="2">
        <v>63</v>
      </c>
      <c r="D275" s="2" t="s">
        <v>15</v>
      </c>
      <c r="E275" s="3" t="s">
        <v>35</v>
      </c>
      <c r="F275" s="4">
        <v>45408</v>
      </c>
      <c r="G275" s="3" t="s">
        <v>48</v>
      </c>
      <c r="H275" s="3" t="s">
        <v>93</v>
      </c>
      <c r="I275" s="3" t="s">
        <v>94</v>
      </c>
      <c r="J275" s="3" t="s">
        <v>51</v>
      </c>
      <c r="K275" s="5">
        <v>650</v>
      </c>
      <c r="L275" s="5">
        <v>230</v>
      </c>
    </row>
    <row r="276" spans="1:12" ht="18" customHeight="1" x14ac:dyDescent="0.35">
      <c r="A276" s="6" t="s">
        <v>637</v>
      </c>
      <c r="B276" s="7" t="s">
        <v>638</v>
      </c>
      <c r="C276" s="6">
        <v>16</v>
      </c>
      <c r="D276" s="6" t="s">
        <v>15</v>
      </c>
      <c r="E276" s="7" t="s">
        <v>16</v>
      </c>
      <c r="F276" s="8">
        <v>45225</v>
      </c>
      <c r="G276" s="7" t="s">
        <v>17</v>
      </c>
      <c r="H276" s="7" t="s">
        <v>18</v>
      </c>
      <c r="I276" s="7" t="s">
        <v>154</v>
      </c>
      <c r="J276" s="7" t="s">
        <v>66</v>
      </c>
      <c r="K276" s="9">
        <v>800</v>
      </c>
      <c r="L276" s="9">
        <v>300</v>
      </c>
    </row>
    <row r="277" spans="1:12" ht="18" customHeight="1" x14ac:dyDescent="0.35">
      <c r="A277" s="2" t="s">
        <v>639</v>
      </c>
      <c r="B277" s="3" t="s">
        <v>640</v>
      </c>
      <c r="C277" s="2">
        <v>33</v>
      </c>
      <c r="D277" s="2" t="s">
        <v>15</v>
      </c>
      <c r="E277" s="3" t="s">
        <v>16</v>
      </c>
      <c r="F277" s="4">
        <v>45497</v>
      </c>
      <c r="G277" s="3" t="s">
        <v>42</v>
      </c>
      <c r="H277" s="3" t="s">
        <v>43</v>
      </c>
      <c r="I277" s="3" t="s">
        <v>128</v>
      </c>
      <c r="J277" s="3" t="s">
        <v>90</v>
      </c>
      <c r="K277" s="5">
        <v>400</v>
      </c>
      <c r="L277" s="5">
        <v>140</v>
      </c>
    </row>
    <row r="278" spans="1:12" ht="18" customHeight="1" x14ac:dyDescent="0.35">
      <c r="A278" s="6" t="s">
        <v>641</v>
      </c>
      <c r="B278" s="7" t="s">
        <v>642</v>
      </c>
      <c r="C278" s="6">
        <v>26</v>
      </c>
      <c r="D278" s="6" t="s">
        <v>34</v>
      </c>
      <c r="E278" s="7" t="s">
        <v>35</v>
      </c>
      <c r="F278" s="8">
        <v>45062</v>
      </c>
      <c r="G278" s="7" t="s">
        <v>17</v>
      </c>
      <c r="H278" s="7" t="s">
        <v>64</v>
      </c>
      <c r="I278" s="7" t="s">
        <v>154</v>
      </c>
      <c r="J278" s="7" t="s">
        <v>148</v>
      </c>
      <c r="K278" s="9">
        <v>950</v>
      </c>
      <c r="L278" s="9">
        <v>750</v>
      </c>
    </row>
    <row r="279" spans="1:12" ht="18" customHeight="1" x14ac:dyDescent="0.35">
      <c r="A279" s="2" t="s">
        <v>643</v>
      </c>
      <c r="B279" s="3" t="s">
        <v>644</v>
      </c>
      <c r="C279" s="2">
        <v>60</v>
      </c>
      <c r="D279" s="2" t="s">
        <v>34</v>
      </c>
      <c r="E279" s="3" t="s">
        <v>69</v>
      </c>
      <c r="F279" s="4">
        <v>45360</v>
      </c>
      <c r="G279" s="3" t="s">
        <v>36</v>
      </c>
      <c r="H279" s="3" t="s">
        <v>75</v>
      </c>
      <c r="I279" s="3" t="s">
        <v>104</v>
      </c>
      <c r="J279" s="3" t="s">
        <v>39</v>
      </c>
      <c r="K279" s="5">
        <v>700</v>
      </c>
      <c r="L279" s="5">
        <v>460</v>
      </c>
    </row>
    <row r="280" spans="1:12" ht="18" customHeight="1" x14ac:dyDescent="0.35">
      <c r="A280" s="6" t="s">
        <v>645</v>
      </c>
      <c r="B280" s="7" t="s">
        <v>646</v>
      </c>
      <c r="C280" s="6">
        <v>54</v>
      </c>
      <c r="D280" s="6" t="s">
        <v>34</v>
      </c>
      <c r="E280" s="7" t="s">
        <v>16</v>
      </c>
      <c r="F280" s="8">
        <v>45431</v>
      </c>
      <c r="G280" s="7" t="s">
        <v>48</v>
      </c>
      <c r="H280" s="7" t="s">
        <v>54</v>
      </c>
      <c r="I280" s="7" t="s">
        <v>94</v>
      </c>
      <c r="J280" s="7" t="s">
        <v>95</v>
      </c>
      <c r="K280" s="9">
        <v>700</v>
      </c>
      <c r="L280" s="9">
        <v>400</v>
      </c>
    </row>
    <row r="281" spans="1:12" ht="18" customHeight="1" x14ac:dyDescent="0.35">
      <c r="A281" s="2" t="s">
        <v>647</v>
      </c>
      <c r="B281" s="3" t="s">
        <v>648</v>
      </c>
      <c r="C281" s="2">
        <v>29</v>
      </c>
      <c r="D281" s="2" t="s">
        <v>34</v>
      </c>
      <c r="E281" s="3" t="s">
        <v>35</v>
      </c>
      <c r="F281" s="4">
        <v>45008</v>
      </c>
      <c r="G281" s="3" t="s">
        <v>28</v>
      </c>
      <c r="H281" s="3" t="s">
        <v>29</v>
      </c>
      <c r="I281" s="3" t="s">
        <v>123</v>
      </c>
      <c r="J281" s="3" t="s">
        <v>111</v>
      </c>
      <c r="K281" s="5">
        <v>700</v>
      </c>
      <c r="L281" s="5">
        <v>140</v>
      </c>
    </row>
    <row r="282" spans="1:12" ht="18" customHeight="1" x14ac:dyDescent="0.35">
      <c r="A282" s="6" t="s">
        <v>649</v>
      </c>
      <c r="B282" s="7" t="s">
        <v>650</v>
      </c>
      <c r="C282" s="6">
        <v>35</v>
      </c>
      <c r="D282" s="6" t="s">
        <v>15</v>
      </c>
      <c r="E282" s="7" t="s">
        <v>27</v>
      </c>
      <c r="F282" s="8">
        <v>45252</v>
      </c>
      <c r="G282" s="7" t="s">
        <v>28</v>
      </c>
      <c r="H282" s="7" t="s">
        <v>122</v>
      </c>
      <c r="I282" s="7" t="s">
        <v>30</v>
      </c>
      <c r="J282" s="7" t="s">
        <v>31</v>
      </c>
      <c r="K282" s="9">
        <v>550</v>
      </c>
      <c r="L282" s="9">
        <v>110</v>
      </c>
    </row>
    <row r="283" spans="1:12" ht="18" customHeight="1" x14ac:dyDescent="0.35">
      <c r="A283" s="2" t="s">
        <v>651</v>
      </c>
      <c r="B283" s="3" t="s">
        <v>652</v>
      </c>
      <c r="C283" s="2">
        <v>74</v>
      </c>
      <c r="D283" s="2" t="s">
        <v>34</v>
      </c>
      <c r="E283" s="3" t="s">
        <v>35</v>
      </c>
      <c r="F283" s="4">
        <v>45254</v>
      </c>
      <c r="G283" s="3" t="s">
        <v>48</v>
      </c>
      <c r="H283" s="3" t="s">
        <v>93</v>
      </c>
      <c r="I283" s="3" t="s">
        <v>50</v>
      </c>
      <c r="J283" s="3" t="s">
        <v>56</v>
      </c>
      <c r="K283" s="5">
        <v>650</v>
      </c>
      <c r="L283" s="5">
        <v>380</v>
      </c>
    </row>
    <row r="284" spans="1:12" ht="18" customHeight="1" x14ac:dyDescent="0.35">
      <c r="A284" s="6" t="s">
        <v>653</v>
      </c>
      <c r="B284" s="7" t="s">
        <v>654</v>
      </c>
      <c r="C284" s="6">
        <v>39</v>
      </c>
      <c r="D284" s="6" t="s">
        <v>34</v>
      </c>
      <c r="E284" s="7" t="s">
        <v>35</v>
      </c>
      <c r="F284" s="8">
        <v>45037</v>
      </c>
      <c r="G284" s="7" t="s">
        <v>48</v>
      </c>
      <c r="H284" s="7" t="s">
        <v>93</v>
      </c>
      <c r="I284" s="7" t="s">
        <v>94</v>
      </c>
      <c r="J284" s="7" t="s">
        <v>95</v>
      </c>
      <c r="K284" s="9">
        <v>550</v>
      </c>
      <c r="L284" s="9">
        <v>340</v>
      </c>
    </row>
    <row r="285" spans="1:12" ht="18" customHeight="1" x14ac:dyDescent="0.35">
      <c r="A285" s="2" t="s">
        <v>655</v>
      </c>
      <c r="B285" s="3" t="s">
        <v>656</v>
      </c>
      <c r="C285" s="2">
        <v>47</v>
      </c>
      <c r="D285" s="2" t="s">
        <v>34</v>
      </c>
      <c r="E285" s="3" t="s">
        <v>16</v>
      </c>
      <c r="F285" s="4">
        <v>45469</v>
      </c>
      <c r="G285" s="3" t="s">
        <v>42</v>
      </c>
      <c r="H285" s="3" t="s">
        <v>70</v>
      </c>
      <c r="I285" s="3" t="s">
        <v>128</v>
      </c>
      <c r="J285" s="3" t="s">
        <v>72</v>
      </c>
      <c r="K285" s="5">
        <v>400</v>
      </c>
      <c r="L285" s="5">
        <v>310</v>
      </c>
    </row>
    <row r="286" spans="1:12" ht="18" customHeight="1" x14ac:dyDescent="0.35">
      <c r="A286" s="6" t="s">
        <v>657</v>
      </c>
      <c r="B286" s="7" t="s">
        <v>658</v>
      </c>
      <c r="C286" s="6">
        <v>21</v>
      </c>
      <c r="D286" s="6" t="s">
        <v>15</v>
      </c>
      <c r="E286" s="7" t="s">
        <v>16</v>
      </c>
      <c r="F286" s="8">
        <v>45420</v>
      </c>
      <c r="G286" s="7" t="s">
        <v>36</v>
      </c>
      <c r="H286" s="7" t="s">
        <v>37</v>
      </c>
      <c r="I286" s="7" t="s">
        <v>104</v>
      </c>
      <c r="J286" s="7" t="s">
        <v>189</v>
      </c>
      <c r="K286" s="9">
        <v>900</v>
      </c>
      <c r="L286" s="9">
        <v>260</v>
      </c>
    </row>
    <row r="287" spans="1:12" ht="18" customHeight="1" x14ac:dyDescent="0.35">
      <c r="A287" s="2" t="s">
        <v>659</v>
      </c>
      <c r="B287" s="3" t="s">
        <v>660</v>
      </c>
      <c r="C287" s="2">
        <v>30</v>
      </c>
      <c r="D287" s="2" t="s">
        <v>34</v>
      </c>
      <c r="E287" s="3" t="s">
        <v>16</v>
      </c>
      <c r="F287" s="4">
        <v>44978</v>
      </c>
      <c r="G287" s="3" t="s">
        <v>36</v>
      </c>
      <c r="H287" s="3" t="s">
        <v>75</v>
      </c>
      <c r="I287" s="3" t="s">
        <v>104</v>
      </c>
      <c r="J287" s="3" t="s">
        <v>82</v>
      </c>
      <c r="K287" s="5">
        <v>600</v>
      </c>
      <c r="L287" s="5">
        <v>430</v>
      </c>
    </row>
    <row r="288" spans="1:12" ht="18" customHeight="1" x14ac:dyDescent="0.35">
      <c r="A288" s="6" t="s">
        <v>661</v>
      </c>
      <c r="B288" s="7" t="s">
        <v>662</v>
      </c>
      <c r="C288" s="6">
        <v>5</v>
      </c>
      <c r="D288" s="6" t="s">
        <v>15</v>
      </c>
      <c r="E288" s="7" t="s">
        <v>69</v>
      </c>
      <c r="F288" s="8">
        <v>45331</v>
      </c>
      <c r="G288" s="7" t="s">
        <v>48</v>
      </c>
      <c r="H288" s="7" t="s">
        <v>49</v>
      </c>
      <c r="I288" s="7" t="s">
        <v>50</v>
      </c>
      <c r="J288" s="7" t="s">
        <v>114</v>
      </c>
      <c r="K288" s="9">
        <v>650</v>
      </c>
      <c r="L288" s="9">
        <v>440</v>
      </c>
    </row>
    <row r="289" spans="1:12" ht="18" customHeight="1" x14ac:dyDescent="0.35">
      <c r="A289" s="2" t="s">
        <v>663</v>
      </c>
      <c r="B289" s="3" t="s">
        <v>664</v>
      </c>
      <c r="C289" s="2">
        <v>21</v>
      </c>
      <c r="D289" s="2" t="s">
        <v>15</v>
      </c>
      <c r="E289" s="3" t="s">
        <v>16</v>
      </c>
      <c r="F289" s="4">
        <v>45357</v>
      </c>
      <c r="G289" s="3" t="s">
        <v>42</v>
      </c>
      <c r="H289" s="3" t="s">
        <v>70</v>
      </c>
      <c r="I289" s="3" t="s">
        <v>71</v>
      </c>
      <c r="J289" s="3" t="s">
        <v>45</v>
      </c>
      <c r="K289" s="5">
        <v>350</v>
      </c>
      <c r="L289" s="5">
        <v>230</v>
      </c>
    </row>
    <row r="290" spans="1:12" ht="18" customHeight="1" x14ac:dyDescent="0.35">
      <c r="A290" s="6" t="s">
        <v>665</v>
      </c>
      <c r="B290" s="7" t="s">
        <v>666</v>
      </c>
      <c r="C290" s="6">
        <v>45</v>
      </c>
      <c r="D290" s="6" t="s">
        <v>34</v>
      </c>
      <c r="E290" s="7" t="s">
        <v>69</v>
      </c>
      <c r="F290" s="8">
        <v>45056</v>
      </c>
      <c r="G290" s="7" t="s">
        <v>28</v>
      </c>
      <c r="H290" s="7" t="s">
        <v>29</v>
      </c>
      <c r="I290" s="7" t="s">
        <v>110</v>
      </c>
      <c r="J290" s="7" t="s">
        <v>61</v>
      </c>
      <c r="K290" s="9">
        <v>450</v>
      </c>
      <c r="L290" s="9">
        <v>280</v>
      </c>
    </row>
    <row r="291" spans="1:12" ht="18" customHeight="1" x14ac:dyDescent="0.35">
      <c r="A291" s="2" t="s">
        <v>667</v>
      </c>
      <c r="B291" s="3" t="s">
        <v>668</v>
      </c>
      <c r="C291" s="2">
        <v>38</v>
      </c>
      <c r="D291" s="2" t="s">
        <v>34</v>
      </c>
      <c r="E291" s="3" t="s">
        <v>35</v>
      </c>
      <c r="F291" s="4">
        <v>45454</v>
      </c>
      <c r="G291" s="3" t="s">
        <v>42</v>
      </c>
      <c r="H291" s="3" t="s">
        <v>89</v>
      </c>
      <c r="I291" s="3" t="s">
        <v>65</v>
      </c>
      <c r="J291" s="3" t="s">
        <v>119</v>
      </c>
      <c r="K291" s="5">
        <v>350</v>
      </c>
      <c r="L291" s="5">
        <v>180</v>
      </c>
    </row>
    <row r="292" spans="1:12" ht="18" customHeight="1" x14ac:dyDescent="0.35">
      <c r="A292" s="6" t="s">
        <v>669</v>
      </c>
      <c r="B292" s="7" t="s">
        <v>670</v>
      </c>
      <c r="C292" s="6">
        <v>37</v>
      </c>
      <c r="D292" s="6" t="s">
        <v>34</v>
      </c>
      <c r="E292" s="7" t="s">
        <v>16</v>
      </c>
      <c r="F292" s="8">
        <v>45387</v>
      </c>
      <c r="G292" s="7" t="s">
        <v>42</v>
      </c>
      <c r="H292" s="7" t="s">
        <v>70</v>
      </c>
      <c r="I292" s="7" t="s">
        <v>136</v>
      </c>
      <c r="J292" s="7" t="s">
        <v>72</v>
      </c>
      <c r="K292" s="9">
        <v>450</v>
      </c>
      <c r="L292" s="9">
        <v>270</v>
      </c>
    </row>
    <row r="293" spans="1:12" ht="18" customHeight="1" x14ac:dyDescent="0.35">
      <c r="A293" s="2" t="s">
        <v>671</v>
      </c>
      <c r="B293" s="3" t="s">
        <v>672</v>
      </c>
      <c r="C293" s="2">
        <v>28</v>
      </c>
      <c r="D293" s="2" t="s">
        <v>15</v>
      </c>
      <c r="E293" s="3" t="s">
        <v>16</v>
      </c>
      <c r="F293" s="4">
        <v>45369</v>
      </c>
      <c r="G293" s="3" t="s">
        <v>48</v>
      </c>
      <c r="H293" s="3" t="s">
        <v>93</v>
      </c>
      <c r="I293" s="3" t="s">
        <v>55</v>
      </c>
      <c r="J293" s="3" t="s">
        <v>141</v>
      </c>
      <c r="K293" s="5">
        <v>750</v>
      </c>
      <c r="L293" s="5">
        <v>300</v>
      </c>
    </row>
    <row r="294" spans="1:12" ht="18" customHeight="1" x14ac:dyDescent="0.35">
      <c r="A294" s="6" t="s">
        <v>673</v>
      </c>
      <c r="B294" s="7" t="s">
        <v>674</v>
      </c>
      <c r="C294" s="6">
        <v>24</v>
      </c>
      <c r="D294" s="6" t="s">
        <v>15</v>
      </c>
      <c r="E294" s="7" t="s">
        <v>35</v>
      </c>
      <c r="F294" s="8">
        <v>45435</v>
      </c>
      <c r="G294" s="7" t="s">
        <v>17</v>
      </c>
      <c r="H294" s="7" t="s">
        <v>18</v>
      </c>
      <c r="I294" s="7" t="s">
        <v>147</v>
      </c>
      <c r="J294" s="7" t="s">
        <v>20</v>
      </c>
      <c r="K294" s="9">
        <v>850</v>
      </c>
      <c r="L294" s="9">
        <v>700</v>
      </c>
    </row>
    <row r="295" spans="1:12" ht="18" customHeight="1" x14ac:dyDescent="0.35">
      <c r="A295" s="2" t="s">
        <v>675</v>
      </c>
      <c r="B295" s="3" t="s">
        <v>676</v>
      </c>
      <c r="C295" s="2">
        <v>11</v>
      </c>
      <c r="D295" s="2" t="s">
        <v>34</v>
      </c>
      <c r="E295" s="3" t="s">
        <v>35</v>
      </c>
      <c r="F295" s="4">
        <v>45642</v>
      </c>
      <c r="G295" s="3" t="s">
        <v>17</v>
      </c>
      <c r="H295" s="3" t="s">
        <v>23</v>
      </c>
      <c r="I295" s="3" t="s">
        <v>192</v>
      </c>
      <c r="J295" s="3" t="s">
        <v>66</v>
      </c>
      <c r="K295" s="5">
        <v>850</v>
      </c>
      <c r="L295" s="5">
        <v>330</v>
      </c>
    </row>
    <row r="296" spans="1:12" ht="18" customHeight="1" x14ac:dyDescent="0.35">
      <c r="A296" s="6" t="s">
        <v>677</v>
      </c>
      <c r="B296" s="7" t="s">
        <v>678</v>
      </c>
      <c r="C296" s="6">
        <v>32</v>
      </c>
      <c r="D296" s="6" t="s">
        <v>15</v>
      </c>
      <c r="E296" s="7" t="s">
        <v>69</v>
      </c>
      <c r="F296" s="8">
        <v>45175</v>
      </c>
      <c r="G296" s="7" t="s">
        <v>42</v>
      </c>
      <c r="H296" s="7" t="s">
        <v>89</v>
      </c>
      <c r="I296" s="7" t="s">
        <v>85</v>
      </c>
      <c r="J296" s="7" t="s">
        <v>90</v>
      </c>
      <c r="K296" s="9">
        <v>300</v>
      </c>
      <c r="L296" s="9">
        <v>190</v>
      </c>
    </row>
    <row r="297" spans="1:12" ht="18" customHeight="1" x14ac:dyDescent="0.35">
      <c r="A297" s="2" t="s">
        <v>679</v>
      </c>
      <c r="B297" s="3" t="s">
        <v>680</v>
      </c>
      <c r="C297" s="2">
        <v>55</v>
      </c>
      <c r="D297" s="2" t="s">
        <v>15</v>
      </c>
      <c r="E297" s="3" t="s">
        <v>27</v>
      </c>
      <c r="F297" s="4">
        <v>45580</v>
      </c>
      <c r="G297" s="3" t="s">
        <v>28</v>
      </c>
      <c r="H297" s="3" t="s">
        <v>29</v>
      </c>
      <c r="I297" s="3" t="s">
        <v>174</v>
      </c>
      <c r="J297" s="3" t="s">
        <v>298</v>
      </c>
      <c r="K297" s="5">
        <v>500</v>
      </c>
      <c r="L297" s="5">
        <v>110</v>
      </c>
    </row>
    <row r="298" spans="1:12" ht="18" customHeight="1" x14ac:dyDescent="0.35">
      <c r="A298" s="6" t="s">
        <v>681</v>
      </c>
      <c r="B298" s="7" t="s">
        <v>682</v>
      </c>
      <c r="C298" s="6">
        <v>28</v>
      </c>
      <c r="D298" s="6" t="s">
        <v>34</v>
      </c>
      <c r="E298" s="7" t="s">
        <v>16</v>
      </c>
      <c r="F298" s="8">
        <v>45614</v>
      </c>
      <c r="G298" s="7" t="s">
        <v>36</v>
      </c>
      <c r="H298" s="7" t="s">
        <v>37</v>
      </c>
      <c r="I298" s="7" t="s">
        <v>104</v>
      </c>
      <c r="J298" s="7" t="s">
        <v>39</v>
      </c>
      <c r="K298" s="9">
        <v>650</v>
      </c>
      <c r="L298" s="9">
        <v>420</v>
      </c>
    </row>
    <row r="299" spans="1:12" ht="18" customHeight="1" x14ac:dyDescent="0.35">
      <c r="A299" s="2" t="s">
        <v>683</v>
      </c>
      <c r="B299" s="3" t="s">
        <v>684</v>
      </c>
      <c r="C299" s="2">
        <v>11</v>
      </c>
      <c r="D299" s="2" t="s">
        <v>15</v>
      </c>
      <c r="E299" s="3" t="s">
        <v>69</v>
      </c>
      <c r="F299" s="4">
        <v>45588</v>
      </c>
      <c r="G299" s="3" t="s">
        <v>48</v>
      </c>
      <c r="H299" s="3" t="s">
        <v>93</v>
      </c>
      <c r="I299" s="3" t="s">
        <v>151</v>
      </c>
      <c r="J299" s="3" t="s">
        <v>51</v>
      </c>
      <c r="K299" s="5">
        <v>750</v>
      </c>
      <c r="L299" s="5">
        <v>430</v>
      </c>
    </row>
    <row r="300" spans="1:12" ht="18" customHeight="1" x14ac:dyDescent="0.35">
      <c r="A300" s="6" t="s">
        <v>685</v>
      </c>
      <c r="B300" s="7" t="s">
        <v>686</v>
      </c>
      <c r="C300" s="6">
        <v>15</v>
      </c>
      <c r="D300" s="6" t="s">
        <v>15</v>
      </c>
      <c r="E300" s="7" t="s">
        <v>35</v>
      </c>
      <c r="F300" s="8">
        <v>45248</v>
      </c>
      <c r="G300" s="7" t="s">
        <v>28</v>
      </c>
      <c r="H300" s="7" t="s">
        <v>122</v>
      </c>
      <c r="I300" s="7" t="s">
        <v>30</v>
      </c>
      <c r="J300" s="7" t="s">
        <v>31</v>
      </c>
      <c r="K300" s="9">
        <v>450</v>
      </c>
      <c r="L300" s="9">
        <v>120</v>
      </c>
    </row>
    <row r="301" spans="1:12" ht="18" customHeight="1" x14ac:dyDescent="0.35">
      <c r="A301" s="2" t="s">
        <v>687</v>
      </c>
      <c r="B301" s="3" t="s">
        <v>688</v>
      </c>
      <c r="C301" s="2">
        <v>39</v>
      </c>
      <c r="D301" s="2" t="s">
        <v>15</v>
      </c>
      <c r="E301" s="3" t="s">
        <v>27</v>
      </c>
      <c r="F301" s="4">
        <v>45327</v>
      </c>
      <c r="G301" s="3" t="s">
        <v>17</v>
      </c>
      <c r="H301" s="3" t="s">
        <v>23</v>
      </c>
      <c r="I301" s="3" t="s">
        <v>154</v>
      </c>
      <c r="J301" s="3" t="s">
        <v>66</v>
      </c>
      <c r="K301" s="5">
        <v>700</v>
      </c>
      <c r="L301" s="5">
        <v>420</v>
      </c>
    </row>
    <row r="302" spans="1:12" ht="18" customHeight="1" x14ac:dyDescent="0.35">
      <c r="A302" s="6" t="s">
        <v>689</v>
      </c>
      <c r="B302" s="7" t="s">
        <v>690</v>
      </c>
      <c r="C302" s="6">
        <v>25</v>
      </c>
      <c r="D302" s="6" t="s">
        <v>15</v>
      </c>
      <c r="E302" s="7" t="s">
        <v>27</v>
      </c>
      <c r="F302" s="8">
        <v>45470</v>
      </c>
      <c r="G302" s="7" t="s">
        <v>36</v>
      </c>
      <c r="H302" s="7" t="s">
        <v>81</v>
      </c>
      <c r="I302" s="7" t="s">
        <v>38</v>
      </c>
      <c r="J302" s="7" t="s">
        <v>189</v>
      </c>
      <c r="K302" s="9">
        <v>800</v>
      </c>
      <c r="L302" s="9">
        <v>560</v>
      </c>
    </row>
    <row r="303" spans="1:12" ht="18" customHeight="1" x14ac:dyDescent="0.35">
      <c r="A303" s="2" t="s">
        <v>691</v>
      </c>
      <c r="B303" s="3" t="s">
        <v>692</v>
      </c>
      <c r="C303" s="2">
        <v>71</v>
      </c>
      <c r="D303" s="2" t="s">
        <v>15</v>
      </c>
      <c r="E303" s="3" t="s">
        <v>107</v>
      </c>
      <c r="F303" s="4">
        <v>45072</v>
      </c>
      <c r="G303" s="3" t="s">
        <v>42</v>
      </c>
      <c r="H303" s="3" t="s">
        <v>89</v>
      </c>
      <c r="I303" s="3" t="s">
        <v>110</v>
      </c>
      <c r="J303" s="3" t="s">
        <v>129</v>
      </c>
      <c r="K303" s="5">
        <v>450</v>
      </c>
      <c r="L303" s="5">
        <v>280</v>
      </c>
    </row>
    <row r="304" spans="1:12" ht="18" customHeight="1" x14ac:dyDescent="0.35">
      <c r="A304" s="6" t="s">
        <v>693</v>
      </c>
      <c r="B304" s="7" t="s">
        <v>694</v>
      </c>
      <c r="C304" s="6">
        <v>73</v>
      </c>
      <c r="D304" s="6" t="s">
        <v>34</v>
      </c>
      <c r="E304" s="7" t="s">
        <v>35</v>
      </c>
      <c r="F304" s="8">
        <v>45470</v>
      </c>
      <c r="G304" s="7" t="s">
        <v>28</v>
      </c>
      <c r="H304" s="7" t="s">
        <v>29</v>
      </c>
      <c r="I304" s="7" t="s">
        <v>123</v>
      </c>
      <c r="J304" s="7" t="s">
        <v>111</v>
      </c>
      <c r="K304" s="9">
        <v>400</v>
      </c>
      <c r="L304" s="9">
        <v>290</v>
      </c>
    </row>
    <row r="305" spans="1:12" ht="18" customHeight="1" x14ac:dyDescent="0.35">
      <c r="A305" s="2" t="s">
        <v>695</v>
      </c>
      <c r="B305" s="3" t="s">
        <v>696</v>
      </c>
      <c r="C305" s="2">
        <v>17</v>
      </c>
      <c r="D305" s="2" t="s">
        <v>34</v>
      </c>
      <c r="E305" s="3" t="s">
        <v>16</v>
      </c>
      <c r="F305" s="4">
        <v>45209</v>
      </c>
      <c r="G305" s="3" t="s">
        <v>48</v>
      </c>
      <c r="H305" s="3" t="s">
        <v>54</v>
      </c>
      <c r="I305" s="3" t="s">
        <v>50</v>
      </c>
      <c r="J305" s="3" t="s">
        <v>114</v>
      </c>
      <c r="K305" s="5">
        <v>750</v>
      </c>
      <c r="L305" s="5">
        <v>310</v>
      </c>
    </row>
    <row r="306" spans="1:12" ht="18" customHeight="1" x14ac:dyDescent="0.35">
      <c r="A306" s="6" t="s">
        <v>697</v>
      </c>
      <c r="B306" s="7" t="s">
        <v>698</v>
      </c>
      <c r="C306" s="6">
        <v>59</v>
      </c>
      <c r="D306" s="6" t="s">
        <v>15</v>
      </c>
      <c r="E306" s="7" t="s">
        <v>35</v>
      </c>
      <c r="F306" s="8">
        <v>45539</v>
      </c>
      <c r="G306" s="7" t="s">
        <v>28</v>
      </c>
      <c r="H306" s="7" t="s">
        <v>29</v>
      </c>
      <c r="I306" s="7" t="s">
        <v>60</v>
      </c>
      <c r="J306" s="7" t="s">
        <v>31</v>
      </c>
      <c r="K306" s="9">
        <v>600</v>
      </c>
      <c r="L306" s="9">
        <v>240</v>
      </c>
    </row>
    <row r="307" spans="1:12" ht="18" customHeight="1" x14ac:dyDescent="0.35">
      <c r="A307" s="2" t="s">
        <v>699</v>
      </c>
      <c r="B307" s="3" t="s">
        <v>700</v>
      </c>
      <c r="C307" s="2">
        <v>23</v>
      </c>
      <c r="D307" s="2" t="s">
        <v>15</v>
      </c>
      <c r="E307" s="3" t="s">
        <v>69</v>
      </c>
      <c r="F307" s="4">
        <v>45480</v>
      </c>
      <c r="G307" s="3" t="s">
        <v>28</v>
      </c>
      <c r="H307" s="3" t="s">
        <v>29</v>
      </c>
      <c r="I307" s="3" t="s">
        <v>123</v>
      </c>
      <c r="J307" s="3" t="s">
        <v>111</v>
      </c>
      <c r="K307" s="5">
        <v>700</v>
      </c>
      <c r="L307" s="5">
        <v>200</v>
      </c>
    </row>
    <row r="308" spans="1:12" ht="18" customHeight="1" x14ac:dyDescent="0.35">
      <c r="A308" s="6" t="s">
        <v>701</v>
      </c>
      <c r="B308" s="7" t="s">
        <v>702</v>
      </c>
      <c r="C308" s="6">
        <v>41</v>
      </c>
      <c r="D308" s="6" t="s">
        <v>34</v>
      </c>
      <c r="E308" s="7" t="s">
        <v>35</v>
      </c>
      <c r="F308" s="8">
        <v>45553</v>
      </c>
      <c r="G308" s="7" t="s">
        <v>48</v>
      </c>
      <c r="H308" s="7" t="s">
        <v>93</v>
      </c>
      <c r="I308" s="7" t="s">
        <v>50</v>
      </c>
      <c r="J308" s="7" t="s">
        <v>114</v>
      </c>
      <c r="K308" s="9">
        <v>750</v>
      </c>
      <c r="L308" s="9">
        <v>230</v>
      </c>
    </row>
    <row r="309" spans="1:12" ht="18" customHeight="1" x14ac:dyDescent="0.35">
      <c r="A309" s="2" t="s">
        <v>703</v>
      </c>
      <c r="B309" s="3" t="s">
        <v>704</v>
      </c>
      <c r="C309" s="2">
        <v>32</v>
      </c>
      <c r="D309" s="2" t="s">
        <v>15</v>
      </c>
      <c r="E309" s="3" t="s">
        <v>16</v>
      </c>
      <c r="F309" s="4">
        <v>44928</v>
      </c>
      <c r="G309" s="3" t="s">
        <v>28</v>
      </c>
      <c r="H309" s="3" t="s">
        <v>122</v>
      </c>
      <c r="I309" s="3" t="s">
        <v>174</v>
      </c>
      <c r="J309" s="3" t="s">
        <v>371</v>
      </c>
      <c r="K309" s="5">
        <v>600</v>
      </c>
      <c r="L309" s="5">
        <v>280</v>
      </c>
    </row>
    <row r="310" spans="1:12" ht="18" customHeight="1" x14ac:dyDescent="0.35">
      <c r="A310" s="6" t="s">
        <v>705</v>
      </c>
      <c r="B310" s="7" t="s">
        <v>706</v>
      </c>
      <c r="C310" s="6">
        <v>66</v>
      </c>
      <c r="D310" s="6" t="s">
        <v>34</v>
      </c>
      <c r="E310" s="7" t="s">
        <v>69</v>
      </c>
      <c r="F310" s="8">
        <v>45317</v>
      </c>
      <c r="G310" s="7" t="s">
        <v>36</v>
      </c>
      <c r="H310" s="7" t="s">
        <v>37</v>
      </c>
      <c r="I310" s="7" t="s">
        <v>38</v>
      </c>
      <c r="J310" s="7" t="s">
        <v>133</v>
      </c>
      <c r="K310" s="9">
        <v>650</v>
      </c>
      <c r="L310" s="9">
        <v>330</v>
      </c>
    </row>
    <row r="311" spans="1:12" ht="18" customHeight="1" x14ac:dyDescent="0.35">
      <c r="A311" s="2" t="s">
        <v>707</v>
      </c>
      <c r="B311" s="3" t="s">
        <v>708</v>
      </c>
      <c r="C311" s="2">
        <v>32</v>
      </c>
      <c r="D311" s="2" t="s">
        <v>34</v>
      </c>
      <c r="E311" s="3" t="s">
        <v>16</v>
      </c>
      <c r="F311" s="4">
        <v>44988</v>
      </c>
      <c r="G311" s="3" t="s">
        <v>17</v>
      </c>
      <c r="H311" s="3" t="s">
        <v>23</v>
      </c>
      <c r="I311" s="3" t="s">
        <v>147</v>
      </c>
      <c r="J311" s="3" t="s">
        <v>24</v>
      </c>
      <c r="K311" s="5">
        <v>1150</v>
      </c>
      <c r="L311" s="5">
        <v>630</v>
      </c>
    </row>
    <row r="312" spans="1:12" ht="18" customHeight="1" x14ac:dyDescent="0.35">
      <c r="A312" s="6" t="s">
        <v>709</v>
      </c>
      <c r="B312" s="7" t="s">
        <v>710</v>
      </c>
      <c r="C312" s="6">
        <v>13</v>
      </c>
      <c r="D312" s="6" t="s">
        <v>34</v>
      </c>
      <c r="E312" s="7" t="s">
        <v>35</v>
      </c>
      <c r="F312" s="8">
        <v>45162</v>
      </c>
      <c r="G312" s="7" t="s">
        <v>28</v>
      </c>
      <c r="H312" s="7" t="s">
        <v>122</v>
      </c>
      <c r="I312" s="7" t="s">
        <v>110</v>
      </c>
      <c r="J312" s="7" t="s">
        <v>111</v>
      </c>
      <c r="K312" s="9">
        <v>500</v>
      </c>
      <c r="L312" s="9">
        <v>220</v>
      </c>
    </row>
    <row r="313" spans="1:12" ht="18" customHeight="1" x14ac:dyDescent="0.35">
      <c r="A313" s="2" t="s">
        <v>711</v>
      </c>
      <c r="B313" s="3" t="s">
        <v>712</v>
      </c>
      <c r="C313" s="2">
        <v>56</v>
      </c>
      <c r="D313" s="2" t="s">
        <v>15</v>
      </c>
      <c r="E313" s="3" t="s">
        <v>16</v>
      </c>
      <c r="F313" s="4">
        <v>45334</v>
      </c>
      <c r="G313" s="3" t="s">
        <v>48</v>
      </c>
      <c r="H313" s="3" t="s">
        <v>93</v>
      </c>
      <c r="I313" s="3" t="s">
        <v>55</v>
      </c>
      <c r="J313" s="3" t="s">
        <v>95</v>
      </c>
      <c r="K313" s="5">
        <v>900</v>
      </c>
      <c r="L313" s="5">
        <v>440</v>
      </c>
    </row>
    <row r="314" spans="1:12" ht="18" customHeight="1" x14ac:dyDescent="0.35">
      <c r="A314" s="6" t="s">
        <v>713</v>
      </c>
      <c r="B314" s="7" t="s">
        <v>714</v>
      </c>
      <c r="C314" s="6">
        <v>32</v>
      </c>
      <c r="D314" s="6" t="s">
        <v>15</v>
      </c>
      <c r="E314" s="7" t="s">
        <v>27</v>
      </c>
      <c r="F314" s="8">
        <v>45358</v>
      </c>
      <c r="G314" s="7" t="s">
        <v>17</v>
      </c>
      <c r="H314" s="7" t="s">
        <v>23</v>
      </c>
      <c r="I314" s="7" t="s">
        <v>192</v>
      </c>
      <c r="J314" s="7" t="s">
        <v>148</v>
      </c>
      <c r="K314" s="9">
        <v>1000</v>
      </c>
      <c r="L314" s="9">
        <v>800</v>
      </c>
    </row>
    <row r="315" spans="1:12" ht="18" customHeight="1" x14ac:dyDescent="0.35">
      <c r="A315" s="2" t="s">
        <v>715</v>
      </c>
      <c r="B315" s="3" t="s">
        <v>716</v>
      </c>
      <c r="C315" s="2">
        <v>40</v>
      </c>
      <c r="D315" s="2" t="s">
        <v>34</v>
      </c>
      <c r="E315" s="3" t="s">
        <v>16</v>
      </c>
      <c r="F315" s="4">
        <v>45647</v>
      </c>
      <c r="G315" s="3" t="s">
        <v>36</v>
      </c>
      <c r="H315" s="3" t="s">
        <v>37</v>
      </c>
      <c r="I315" s="3" t="s">
        <v>76</v>
      </c>
      <c r="J315" s="3" t="s">
        <v>133</v>
      </c>
      <c r="K315" s="5">
        <v>1000</v>
      </c>
      <c r="L315" s="5">
        <v>250</v>
      </c>
    </row>
    <row r="316" spans="1:12" ht="18" customHeight="1" x14ac:dyDescent="0.35">
      <c r="A316" s="6" t="s">
        <v>717</v>
      </c>
      <c r="B316" s="7" t="s">
        <v>718</v>
      </c>
      <c r="C316" s="6">
        <v>37</v>
      </c>
      <c r="D316" s="6" t="s">
        <v>34</v>
      </c>
      <c r="E316" s="7" t="s">
        <v>16</v>
      </c>
      <c r="F316" s="8">
        <v>45182</v>
      </c>
      <c r="G316" s="7" t="s">
        <v>17</v>
      </c>
      <c r="H316" s="7" t="s">
        <v>18</v>
      </c>
      <c r="I316" s="7" t="s">
        <v>19</v>
      </c>
      <c r="J316" s="7" t="s">
        <v>148</v>
      </c>
      <c r="K316" s="9">
        <v>1000</v>
      </c>
      <c r="L316" s="9">
        <v>340</v>
      </c>
    </row>
    <row r="317" spans="1:12" ht="18" customHeight="1" x14ac:dyDescent="0.35">
      <c r="A317" s="2" t="s">
        <v>719</v>
      </c>
      <c r="B317" s="3" t="s">
        <v>720</v>
      </c>
      <c r="C317" s="2">
        <v>20</v>
      </c>
      <c r="D317" s="2" t="s">
        <v>34</v>
      </c>
      <c r="E317" s="3" t="s">
        <v>35</v>
      </c>
      <c r="F317" s="4">
        <v>45211</v>
      </c>
      <c r="G317" s="3" t="s">
        <v>48</v>
      </c>
      <c r="H317" s="3" t="s">
        <v>93</v>
      </c>
      <c r="I317" s="3" t="s">
        <v>151</v>
      </c>
      <c r="J317" s="3" t="s">
        <v>141</v>
      </c>
      <c r="K317" s="5">
        <v>500</v>
      </c>
      <c r="L317" s="5">
        <v>410</v>
      </c>
    </row>
    <row r="318" spans="1:12" ht="18" customHeight="1" x14ac:dyDescent="0.35">
      <c r="A318" s="6" t="s">
        <v>721</v>
      </c>
      <c r="B318" s="7" t="s">
        <v>722</v>
      </c>
      <c r="C318" s="6">
        <v>30</v>
      </c>
      <c r="D318" s="6" t="s">
        <v>15</v>
      </c>
      <c r="E318" s="7" t="s">
        <v>16</v>
      </c>
      <c r="F318" s="8">
        <v>45009</v>
      </c>
      <c r="G318" s="7" t="s">
        <v>17</v>
      </c>
      <c r="H318" s="7" t="s">
        <v>23</v>
      </c>
      <c r="I318" s="7" t="s">
        <v>192</v>
      </c>
      <c r="J318" s="7" t="s">
        <v>20</v>
      </c>
      <c r="K318" s="9">
        <v>750</v>
      </c>
      <c r="L318" s="9">
        <v>760</v>
      </c>
    </row>
    <row r="319" spans="1:12" ht="18" customHeight="1" x14ac:dyDescent="0.35">
      <c r="A319" s="2" t="s">
        <v>723</v>
      </c>
      <c r="B319" s="3" t="s">
        <v>724</v>
      </c>
      <c r="C319" s="2">
        <v>40</v>
      </c>
      <c r="D319" s="2" t="s">
        <v>15</v>
      </c>
      <c r="E319" s="3" t="s">
        <v>16</v>
      </c>
      <c r="F319" s="4">
        <v>45470</v>
      </c>
      <c r="G319" s="3" t="s">
        <v>42</v>
      </c>
      <c r="H319" s="3" t="s">
        <v>89</v>
      </c>
      <c r="I319" s="3" t="s">
        <v>71</v>
      </c>
      <c r="J319" s="3" t="s">
        <v>72</v>
      </c>
      <c r="K319" s="5">
        <v>350</v>
      </c>
      <c r="L319" s="5">
        <v>110</v>
      </c>
    </row>
    <row r="320" spans="1:12" ht="18" customHeight="1" x14ac:dyDescent="0.35">
      <c r="A320" s="6" t="s">
        <v>725</v>
      </c>
      <c r="B320" s="7" t="s">
        <v>726</v>
      </c>
      <c r="C320" s="6">
        <v>4</v>
      </c>
      <c r="D320" s="6" t="s">
        <v>15</v>
      </c>
      <c r="E320" s="7" t="s">
        <v>107</v>
      </c>
      <c r="F320" s="8">
        <v>44977</v>
      </c>
      <c r="G320" s="7" t="s">
        <v>48</v>
      </c>
      <c r="H320" s="7" t="s">
        <v>54</v>
      </c>
      <c r="I320" s="7" t="s">
        <v>151</v>
      </c>
      <c r="J320" s="7" t="s">
        <v>141</v>
      </c>
      <c r="K320" s="9">
        <v>650</v>
      </c>
      <c r="L320" s="9">
        <v>220</v>
      </c>
    </row>
    <row r="321" spans="1:12" ht="18" customHeight="1" x14ac:dyDescent="0.35">
      <c r="A321" s="2" t="s">
        <v>727</v>
      </c>
      <c r="B321" s="3" t="s">
        <v>728</v>
      </c>
      <c r="C321" s="2">
        <v>17</v>
      </c>
      <c r="D321" s="2" t="s">
        <v>34</v>
      </c>
      <c r="E321" s="3" t="s">
        <v>35</v>
      </c>
      <c r="F321" s="4">
        <v>45418</v>
      </c>
      <c r="G321" s="3" t="s">
        <v>17</v>
      </c>
      <c r="H321" s="3" t="s">
        <v>64</v>
      </c>
      <c r="I321" s="3" t="s">
        <v>154</v>
      </c>
      <c r="J321" s="3" t="s">
        <v>20</v>
      </c>
      <c r="K321" s="5">
        <v>1000</v>
      </c>
      <c r="L321" s="5">
        <v>320</v>
      </c>
    </row>
    <row r="322" spans="1:12" ht="18" customHeight="1" x14ac:dyDescent="0.35">
      <c r="A322" s="6" t="s">
        <v>729</v>
      </c>
      <c r="B322" s="7" t="s">
        <v>342</v>
      </c>
      <c r="C322" s="6">
        <v>80</v>
      </c>
      <c r="D322" s="6" t="s">
        <v>15</v>
      </c>
      <c r="E322" s="7" t="s">
        <v>80</v>
      </c>
      <c r="F322" s="8">
        <v>45430</v>
      </c>
      <c r="G322" s="7" t="s">
        <v>48</v>
      </c>
      <c r="H322" s="7" t="s">
        <v>54</v>
      </c>
      <c r="I322" s="7" t="s">
        <v>50</v>
      </c>
      <c r="J322" s="7" t="s">
        <v>51</v>
      </c>
      <c r="K322" s="9">
        <v>700</v>
      </c>
      <c r="L322" s="9">
        <v>190</v>
      </c>
    </row>
  </sheetData>
  <mergeCells count="1">
    <mergeCell ref="A1:L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
  <sheetViews>
    <sheetView topLeftCell="A3" zoomScaleNormal="100" workbookViewId="0">
      <selection activeCell="A7" sqref="A7:B7"/>
    </sheetView>
  </sheetViews>
  <sheetFormatPr defaultColWidth="8.6328125" defaultRowHeight="14.5" x14ac:dyDescent="0.35"/>
  <cols>
    <col min="1" max="1" width="28" customWidth="1"/>
    <col min="2" max="2" width="60" customWidth="1"/>
  </cols>
  <sheetData>
    <row r="1" spans="1:2" ht="30" customHeight="1" x14ac:dyDescent="0.35">
      <c r="A1" s="10" t="s">
        <v>730</v>
      </c>
      <c r="B1" s="10"/>
    </row>
    <row r="2" spans="1:2" ht="19.5" customHeight="1" x14ac:dyDescent="0.35">
      <c r="A2" s="16" t="s">
        <v>731</v>
      </c>
      <c r="B2" s="16"/>
    </row>
    <row r="3" spans="1:2" ht="77" customHeight="1" x14ac:dyDescent="0.35">
      <c r="A3" s="13" t="s">
        <v>732</v>
      </c>
      <c r="B3" s="13"/>
    </row>
    <row r="4" spans="1:2" ht="19.5" customHeight="1" x14ac:dyDescent="0.35">
      <c r="A4" s="16" t="s">
        <v>733</v>
      </c>
      <c r="B4" s="16"/>
    </row>
    <row r="5" spans="1:2" ht="77" customHeight="1" x14ac:dyDescent="0.35">
      <c r="A5" s="13" t="s">
        <v>770</v>
      </c>
      <c r="B5" s="13"/>
    </row>
    <row r="6" spans="1:2" ht="19.5" customHeight="1" x14ac:dyDescent="0.35">
      <c r="A6" s="16" t="s">
        <v>734</v>
      </c>
      <c r="B6" s="16"/>
    </row>
    <row r="7" spans="1:2" ht="90.5" customHeight="1" x14ac:dyDescent="0.35">
      <c r="A7" s="13" t="s">
        <v>775</v>
      </c>
      <c r="B7" s="13"/>
    </row>
    <row r="8" spans="1:2" ht="19.5" customHeight="1" x14ac:dyDescent="0.35">
      <c r="A8" s="16" t="s">
        <v>735</v>
      </c>
      <c r="B8" s="16"/>
    </row>
    <row r="9" spans="1:2" ht="98" customHeight="1" x14ac:dyDescent="0.35">
      <c r="A9" s="13" t="s">
        <v>771</v>
      </c>
      <c r="B9" s="13"/>
    </row>
    <row r="10" spans="1:2" ht="19.5" customHeight="1" x14ac:dyDescent="0.35">
      <c r="A10" s="16" t="s">
        <v>736</v>
      </c>
      <c r="B10" s="16"/>
    </row>
    <row r="11" spans="1:2" ht="93.75" customHeight="1" x14ac:dyDescent="0.35">
      <c r="A11" s="13" t="s">
        <v>737</v>
      </c>
      <c r="B11" s="13"/>
    </row>
  </sheetData>
  <mergeCells count="11">
    <mergeCell ref="A9:B9"/>
    <mergeCell ref="A10:B10"/>
    <mergeCell ref="A11:B11"/>
    <mergeCell ref="A6:B6"/>
    <mergeCell ref="A7:B7"/>
    <mergeCell ref="A8:B8"/>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7"/>
  <sheetViews>
    <sheetView topLeftCell="A14" zoomScaleNormal="100" workbookViewId="0">
      <selection activeCell="A18" sqref="A18"/>
    </sheetView>
  </sheetViews>
  <sheetFormatPr defaultColWidth="8.6328125" defaultRowHeight="14.5" x14ac:dyDescent="0.35"/>
  <cols>
    <col min="1" max="1" width="20" customWidth="1"/>
    <col min="2" max="2" width="60" customWidth="1"/>
  </cols>
  <sheetData>
    <row r="1" spans="1:2" ht="30" customHeight="1" x14ac:dyDescent="0.35">
      <c r="A1" s="10" t="s">
        <v>738</v>
      </c>
      <c r="B1" s="10"/>
    </row>
    <row r="2" spans="1:2" ht="35.5" customHeight="1" x14ac:dyDescent="0.35">
      <c r="A2" s="11" t="s">
        <v>739</v>
      </c>
      <c r="B2" s="11"/>
    </row>
    <row r="3" spans="1:2" ht="21.75" customHeight="1" x14ac:dyDescent="0.35">
      <c r="A3" s="12" t="s">
        <v>740</v>
      </c>
      <c r="B3" s="12"/>
    </row>
    <row r="4" spans="1:2" ht="220.5" customHeight="1" x14ac:dyDescent="0.35">
      <c r="A4" s="13" t="s">
        <v>741</v>
      </c>
      <c r="B4" s="13"/>
    </row>
    <row r="5" spans="1:2" ht="7.5" customHeight="1" x14ac:dyDescent="0.35">
      <c r="A5" s="14"/>
      <c r="B5" s="14"/>
    </row>
    <row r="6" spans="1:2" ht="21.75" customHeight="1" x14ac:dyDescent="0.35">
      <c r="A6" s="12" t="s">
        <v>742</v>
      </c>
      <c r="B6" s="12"/>
    </row>
    <row r="7" spans="1:2" ht="162" customHeight="1" x14ac:dyDescent="0.35">
      <c r="A7" s="15" t="s">
        <v>743</v>
      </c>
      <c r="B7" s="15"/>
    </row>
    <row r="8" spans="1:2" ht="7.5" customHeight="1" x14ac:dyDescent="0.35">
      <c r="A8" s="14"/>
      <c r="B8" s="14"/>
    </row>
    <row r="9" spans="1:2" ht="21.75" customHeight="1" x14ac:dyDescent="0.35">
      <c r="A9" s="12" t="s">
        <v>744</v>
      </c>
      <c r="B9" s="12"/>
    </row>
    <row r="10" spans="1:2" ht="130.5" customHeight="1" x14ac:dyDescent="0.35">
      <c r="A10" s="13" t="s">
        <v>745</v>
      </c>
      <c r="B10" s="13"/>
    </row>
    <row r="11" spans="1:2" ht="7.5" customHeight="1" x14ac:dyDescent="0.35">
      <c r="A11" s="14"/>
      <c r="B11" s="14"/>
    </row>
    <row r="12" spans="1:2" ht="21.75" customHeight="1" x14ac:dyDescent="0.35">
      <c r="A12" s="12" t="s">
        <v>746</v>
      </c>
      <c r="B12" s="12"/>
    </row>
    <row r="13" spans="1:2" ht="147.75" customHeight="1" x14ac:dyDescent="0.35">
      <c r="A13" s="15" t="s">
        <v>747</v>
      </c>
      <c r="B13" s="15"/>
    </row>
    <row r="14" spans="1:2" ht="7.5" customHeight="1" x14ac:dyDescent="0.35">
      <c r="A14" s="14"/>
      <c r="B14" s="14"/>
    </row>
    <row r="15" spans="1:2" ht="21.75" customHeight="1" x14ac:dyDescent="0.35">
      <c r="A15" s="12" t="s">
        <v>748</v>
      </c>
      <c r="B15" s="12"/>
    </row>
    <row r="16" spans="1:2" ht="192" customHeight="1" x14ac:dyDescent="0.35">
      <c r="A16" s="13" t="s">
        <v>749</v>
      </c>
      <c r="B16" s="13"/>
    </row>
    <row r="17" spans="1:2" ht="7.5" customHeight="1" x14ac:dyDescent="0.35">
      <c r="A17" s="14"/>
      <c r="B17" s="14"/>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7"/>
  <sheetViews>
    <sheetView topLeftCell="A16" zoomScaleNormal="100" workbookViewId="0">
      <selection activeCell="A18" sqref="A18:XFD18"/>
    </sheetView>
  </sheetViews>
  <sheetFormatPr defaultColWidth="8.6328125" defaultRowHeight="14.5" x14ac:dyDescent="0.35"/>
  <cols>
    <col min="1" max="1" width="20" customWidth="1"/>
    <col min="2" max="2" width="60" customWidth="1"/>
  </cols>
  <sheetData>
    <row r="1" spans="1:2" ht="30" customHeight="1" x14ac:dyDescent="0.35">
      <c r="A1" s="17" t="s">
        <v>750</v>
      </c>
      <c r="B1" s="17"/>
    </row>
    <row r="2" spans="1:2" ht="45.5" customHeight="1" x14ac:dyDescent="0.35">
      <c r="A2" s="11" t="s">
        <v>739</v>
      </c>
      <c r="B2" s="11"/>
    </row>
    <row r="3" spans="1:2" ht="21.75" customHeight="1" x14ac:dyDescent="0.35">
      <c r="A3" s="18" t="s">
        <v>740</v>
      </c>
      <c r="B3" s="18"/>
    </row>
    <row r="4" spans="1:2" ht="220.5" customHeight="1" x14ac:dyDescent="0.35">
      <c r="A4" s="13" t="s">
        <v>741</v>
      </c>
      <c r="B4" s="13"/>
    </row>
    <row r="5" spans="1:2" ht="7.5" customHeight="1" x14ac:dyDescent="0.35">
      <c r="A5" s="14"/>
      <c r="B5" s="14"/>
    </row>
    <row r="6" spans="1:2" ht="21.75" customHeight="1" x14ac:dyDescent="0.35">
      <c r="A6" s="18" t="s">
        <v>742</v>
      </c>
      <c r="B6" s="18"/>
    </row>
    <row r="7" spans="1:2" ht="162" customHeight="1" x14ac:dyDescent="0.35">
      <c r="A7" s="15" t="s">
        <v>743</v>
      </c>
      <c r="B7" s="15"/>
    </row>
    <row r="8" spans="1:2" ht="7.5" customHeight="1" x14ac:dyDescent="0.35">
      <c r="A8" s="14"/>
      <c r="B8" s="14"/>
    </row>
    <row r="9" spans="1:2" ht="21.75" customHeight="1" x14ac:dyDescent="0.35">
      <c r="A9" s="18" t="s">
        <v>744</v>
      </c>
      <c r="B9" s="18"/>
    </row>
    <row r="10" spans="1:2" ht="130.5" customHeight="1" x14ac:dyDescent="0.35">
      <c r="A10" s="13" t="s">
        <v>745</v>
      </c>
      <c r="B10" s="13"/>
    </row>
    <row r="11" spans="1:2" ht="7.5" customHeight="1" x14ac:dyDescent="0.35">
      <c r="A11" s="14"/>
      <c r="B11" s="14"/>
    </row>
    <row r="12" spans="1:2" ht="21.75" customHeight="1" x14ac:dyDescent="0.35">
      <c r="A12" s="18" t="s">
        <v>751</v>
      </c>
      <c r="B12" s="18"/>
    </row>
    <row r="13" spans="1:2" ht="235.5" customHeight="1" x14ac:dyDescent="0.35">
      <c r="A13" s="15" t="s">
        <v>752</v>
      </c>
      <c r="B13" s="15"/>
    </row>
    <row r="14" spans="1:2" ht="7.5" customHeight="1" x14ac:dyDescent="0.35">
      <c r="A14" s="14"/>
      <c r="B14" s="14"/>
    </row>
    <row r="15" spans="1:2" ht="21.75" customHeight="1" x14ac:dyDescent="0.35">
      <c r="A15" s="18" t="s">
        <v>753</v>
      </c>
      <c r="B15" s="18"/>
    </row>
    <row r="16" spans="1:2" ht="168.75" customHeight="1" x14ac:dyDescent="0.35">
      <c r="A16" s="13" t="s">
        <v>754</v>
      </c>
      <c r="B16" s="13"/>
    </row>
    <row r="17" spans="1:2" ht="7.5" customHeight="1" x14ac:dyDescent="0.35">
      <c r="A17" s="14"/>
      <c r="B17" s="14"/>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7"/>
  <sheetViews>
    <sheetView topLeftCell="A16" zoomScaleNormal="100" workbookViewId="0">
      <selection activeCell="A18" sqref="A18:XFD18"/>
    </sheetView>
  </sheetViews>
  <sheetFormatPr defaultColWidth="8.6328125" defaultRowHeight="14.5" x14ac:dyDescent="0.35"/>
  <cols>
    <col min="1" max="1" width="20" customWidth="1"/>
    <col min="2" max="2" width="60" customWidth="1"/>
  </cols>
  <sheetData>
    <row r="1" spans="1:2" ht="30" customHeight="1" x14ac:dyDescent="0.35">
      <c r="A1" s="19" t="s">
        <v>755</v>
      </c>
      <c r="B1" s="19"/>
    </row>
    <row r="2" spans="1:2" ht="28.5" customHeight="1" x14ac:dyDescent="0.35">
      <c r="A2" s="11" t="s">
        <v>739</v>
      </c>
      <c r="B2" s="11"/>
    </row>
    <row r="3" spans="1:2" ht="21.75" customHeight="1" x14ac:dyDescent="0.35">
      <c r="A3" s="20" t="s">
        <v>740</v>
      </c>
      <c r="B3" s="20"/>
    </row>
    <row r="4" spans="1:2" ht="220.5" customHeight="1" x14ac:dyDescent="0.35">
      <c r="A4" s="13" t="s">
        <v>741</v>
      </c>
      <c r="B4" s="13"/>
    </row>
    <row r="5" spans="1:2" ht="7.5" customHeight="1" x14ac:dyDescent="0.35">
      <c r="A5" s="14"/>
      <c r="B5" s="14"/>
    </row>
    <row r="6" spans="1:2" ht="21.75" customHeight="1" x14ac:dyDescent="0.35">
      <c r="A6" s="20" t="s">
        <v>742</v>
      </c>
      <c r="B6" s="20"/>
    </row>
    <row r="7" spans="1:2" ht="162" customHeight="1" x14ac:dyDescent="0.35">
      <c r="A7" s="15" t="s">
        <v>743</v>
      </c>
      <c r="B7" s="15"/>
    </row>
    <row r="8" spans="1:2" ht="7.5" customHeight="1" x14ac:dyDescent="0.35">
      <c r="A8" s="14"/>
      <c r="B8" s="14"/>
    </row>
    <row r="9" spans="1:2" ht="21.75" customHeight="1" x14ac:dyDescent="0.35">
      <c r="A9" s="20" t="s">
        <v>744</v>
      </c>
      <c r="B9" s="20"/>
    </row>
    <row r="10" spans="1:2" ht="130.5" customHeight="1" x14ac:dyDescent="0.35">
      <c r="A10" s="13" t="s">
        <v>745</v>
      </c>
      <c r="B10" s="13"/>
    </row>
    <row r="11" spans="1:2" ht="7.5" customHeight="1" x14ac:dyDescent="0.35">
      <c r="A11" s="14"/>
      <c r="B11" s="14"/>
    </row>
    <row r="12" spans="1:2" ht="21.75" customHeight="1" x14ac:dyDescent="0.35">
      <c r="A12" s="20" t="s">
        <v>756</v>
      </c>
      <c r="B12" s="20"/>
    </row>
    <row r="13" spans="1:2" ht="183.75" customHeight="1" x14ac:dyDescent="0.35">
      <c r="A13" s="15" t="s">
        <v>757</v>
      </c>
      <c r="B13" s="15"/>
    </row>
    <row r="14" spans="1:2" ht="7.5" customHeight="1" x14ac:dyDescent="0.35">
      <c r="A14" s="14"/>
      <c r="B14" s="14"/>
    </row>
    <row r="15" spans="1:2" ht="21.75" customHeight="1" x14ac:dyDescent="0.35">
      <c r="A15" s="20" t="s">
        <v>758</v>
      </c>
      <c r="B15" s="20"/>
    </row>
    <row r="16" spans="1:2" ht="159" customHeight="1" x14ac:dyDescent="0.35">
      <c r="A16" s="13" t="s">
        <v>759</v>
      </c>
      <c r="B16" s="13"/>
    </row>
    <row r="17" spans="1:2" ht="7.5" customHeight="1" x14ac:dyDescent="0.35">
      <c r="A17" s="14"/>
      <c r="B17" s="14"/>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7"/>
  <sheetViews>
    <sheetView topLeftCell="A16" zoomScaleNormal="100" workbookViewId="0">
      <selection activeCell="A18" sqref="A18:XFD18"/>
    </sheetView>
  </sheetViews>
  <sheetFormatPr defaultColWidth="8.6328125" defaultRowHeight="14.5" x14ac:dyDescent="0.35"/>
  <cols>
    <col min="1" max="1" width="20" customWidth="1"/>
    <col min="2" max="2" width="60" customWidth="1"/>
  </cols>
  <sheetData>
    <row r="1" spans="1:2" ht="30" customHeight="1" x14ac:dyDescent="0.35">
      <c r="A1" s="21" t="s">
        <v>760</v>
      </c>
      <c r="B1" s="21"/>
    </row>
    <row r="2" spans="1:2" ht="45" customHeight="1" x14ac:dyDescent="0.35">
      <c r="A2" s="11" t="s">
        <v>739</v>
      </c>
      <c r="B2" s="11"/>
    </row>
    <row r="3" spans="1:2" ht="21.75" customHeight="1" x14ac:dyDescent="0.35">
      <c r="A3" s="22" t="s">
        <v>740</v>
      </c>
      <c r="B3" s="22"/>
    </row>
    <row r="4" spans="1:2" ht="220.5" customHeight="1" x14ac:dyDescent="0.35">
      <c r="A4" s="13" t="s">
        <v>741</v>
      </c>
      <c r="B4" s="13"/>
    </row>
    <row r="5" spans="1:2" ht="7.5" customHeight="1" x14ac:dyDescent="0.35">
      <c r="A5" s="14"/>
      <c r="B5" s="14"/>
    </row>
    <row r="6" spans="1:2" ht="21.75" customHeight="1" x14ac:dyDescent="0.35">
      <c r="A6" s="22" t="s">
        <v>742</v>
      </c>
      <c r="B6" s="22"/>
    </row>
    <row r="7" spans="1:2" ht="162" customHeight="1" x14ac:dyDescent="0.35">
      <c r="A7" s="15" t="s">
        <v>743</v>
      </c>
      <c r="B7" s="15"/>
    </row>
    <row r="8" spans="1:2" ht="7.5" customHeight="1" x14ac:dyDescent="0.35">
      <c r="A8" s="14"/>
      <c r="B8" s="14"/>
    </row>
    <row r="9" spans="1:2" ht="21.75" customHeight="1" x14ac:dyDescent="0.35">
      <c r="A9" s="22" t="s">
        <v>744</v>
      </c>
      <c r="B9" s="22"/>
    </row>
    <row r="10" spans="1:2" ht="130.5" customHeight="1" x14ac:dyDescent="0.35">
      <c r="A10" s="13" t="s">
        <v>745</v>
      </c>
      <c r="B10" s="13"/>
    </row>
    <row r="11" spans="1:2" ht="7.5" customHeight="1" x14ac:dyDescent="0.35">
      <c r="A11" s="14"/>
      <c r="B11" s="14"/>
    </row>
    <row r="12" spans="1:2" ht="21.75" customHeight="1" x14ac:dyDescent="0.35">
      <c r="A12" s="22" t="s">
        <v>761</v>
      </c>
      <c r="B12" s="22"/>
    </row>
    <row r="13" spans="1:2" ht="231.75" customHeight="1" x14ac:dyDescent="0.35">
      <c r="A13" s="15" t="s">
        <v>762</v>
      </c>
      <c r="B13" s="15"/>
    </row>
    <row r="14" spans="1:2" ht="7.5" customHeight="1" x14ac:dyDescent="0.35">
      <c r="A14" s="14"/>
      <c r="B14" s="14"/>
    </row>
    <row r="15" spans="1:2" ht="21.75" customHeight="1" x14ac:dyDescent="0.35">
      <c r="A15" s="22" t="s">
        <v>763</v>
      </c>
      <c r="B15" s="22"/>
    </row>
    <row r="16" spans="1:2" ht="187.5" customHeight="1" x14ac:dyDescent="0.35">
      <c r="A16" s="13" t="s">
        <v>764</v>
      </c>
      <c r="B16" s="13"/>
    </row>
    <row r="17" spans="1:2" ht="7.5" customHeight="1" x14ac:dyDescent="0.35">
      <c r="A17" s="14"/>
      <c r="B17" s="14"/>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7"/>
  <sheetViews>
    <sheetView zoomScaleNormal="100" workbookViewId="0">
      <selection activeCell="A18" sqref="A18:XFD18"/>
    </sheetView>
  </sheetViews>
  <sheetFormatPr defaultColWidth="8.6328125" defaultRowHeight="14.5" x14ac:dyDescent="0.35"/>
  <cols>
    <col min="1" max="1" width="20" customWidth="1"/>
    <col min="2" max="2" width="60" customWidth="1"/>
  </cols>
  <sheetData>
    <row r="1" spans="1:2" ht="30" customHeight="1" x14ac:dyDescent="0.35">
      <c r="A1" s="23" t="s">
        <v>765</v>
      </c>
      <c r="B1" s="23"/>
    </row>
    <row r="2" spans="1:2" ht="30.5" customHeight="1" x14ac:dyDescent="0.35">
      <c r="A2" s="11" t="s">
        <v>739</v>
      </c>
      <c r="B2" s="11"/>
    </row>
    <row r="3" spans="1:2" ht="21.75" customHeight="1" x14ac:dyDescent="0.35">
      <c r="A3" s="24" t="s">
        <v>740</v>
      </c>
      <c r="B3" s="24"/>
    </row>
    <row r="4" spans="1:2" ht="220.5" customHeight="1" x14ac:dyDescent="0.35">
      <c r="A4" s="13" t="s">
        <v>741</v>
      </c>
      <c r="B4" s="13"/>
    </row>
    <row r="5" spans="1:2" ht="7.5" customHeight="1" x14ac:dyDescent="0.35">
      <c r="A5" s="14"/>
      <c r="B5" s="14"/>
    </row>
    <row r="6" spans="1:2" ht="21.75" customHeight="1" x14ac:dyDescent="0.35">
      <c r="A6" s="24" t="s">
        <v>742</v>
      </c>
      <c r="B6" s="24"/>
    </row>
    <row r="7" spans="1:2" ht="162" customHeight="1" x14ac:dyDescent="0.35">
      <c r="A7" s="15" t="s">
        <v>743</v>
      </c>
      <c r="B7" s="15"/>
    </row>
    <row r="8" spans="1:2" ht="7.5" customHeight="1" x14ac:dyDescent="0.35">
      <c r="A8" s="14"/>
      <c r="B8" s="14"/>
    </row>
    <row r="9" spans="1:2" ht="21.75" customHeight="1" x14ac:dyDescent="0.35">
      <c r="A9" s="24" t="s">
        <v>744</v>
      </c>
      <c r="B9" s="24"/>
    </row>
    <row r="10" spans="1:2" ht="130.5" customHeight="1" x14ac:dyDescent="0.35">
      <c r="A10" s="13" t="s">
        <v>745</v>
      </c>
      <c r="B10" s="13"/>
    </row>
    <row r="11" spans="1:2" ht="7.5" customHeight="1" x14ac:dyDescent="0.35">
      <c r="A11" s="14"/>
      <c r="B11" s="14"/>
    </row>
    <row r="12" spans="1:2" ht="21.75" customHeight="1" x14ac:dyDescent="0.35">
      <c r="A12" s="24" t="s">
        <v>766</v>
      </c>
      <c r="B12" s="24"/>
    </row>
    <row r="13" spans="1:2" ht="189" customHeight="1" x14ac:dyDescent="0.35">
      <c r="A13" s="15" t="s">
        <v>767</v>
      </c>
      <c r="B13" s="15"/>
    </row>
    <row r="14" spans="1:2" ht="7.5" customHeight="1" x14ac:dyDescent="0.35">
      <c r="A14" s="14"/>
      <c r="B14" s="14"/>
    </row>
    <row r="15" spans="1:2" ht="21.75" customHeight="1" x14ac:dyDescent="0.35">
      <c r="A15" s="24" t="s">
        <v>768</v>
      </c>
      <c r="B15" s="24"/>
    </row>
    <row r="16" spans="1:2" ht="187.5" customHeight="1" x14ac:dyDescent="0.35">
      <c r="A16" s="13" t="s">
        <v>769</v>
      </c>
      <c r="B16" s="13"/>
    </row>
    <row r="17" spans="1:2" ht="7.5" customHeight="1" x14ac:dyDescent="0.35">
      <c r="A17" s="14"/>
      <c r="B17" s="14"/>
    </row>
  </sheetData>
  <mergeCells count="17">
    <mergeCell ref="A16:B16"/>
    <mergeCell ref="A17:B17"/>
    <mergeCell ref="A11:B11"/>
    <mergeCell ref="A12:B12"/>
    <mergeCell ref="A13:B13"/>
    <mergeCell ref="A14:B14"/>
    <mergeCell ref="A15:B15"/>
    <mergeCell ref="A6:B6"/>
    <mergeCell ref="A7:B7"/>
    <mergeCell ref="A8:B8"/>
    <mergeCell ref="A9:B9"/>
    <mergeCell ref="A10:B1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2AF5C7-4587-406B-9FAB-8EC3B11BCB45}">
  <dimension ref="A1"/>
  <sheetViews>
    <sheetView workbookViewId="0"/>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Raw Data (2)</vt:lpstr>
      <vt:lpstr>worksheet</vt:lpstr>
      <vt:lpstr>change log</vt:lpstr>
      <vt:lpstr>Sheet2</vt:lpstr>
      <vt:lpstr>Raw Data</vt:lpstr>
      <vt:lpstr>Instructions</vt:lpstr>
      <vt:lpstr>Question Set A</vt:lpstr>
      <vt:lpstr>Question Set B</vt:lpstr>
      <vt:lpstr>Question Set C</vt:lpstr>
      <vt:lpstr>Question Set D</vt:lpstr>
      <vt:lpstr>Question Set E</vt:lpstr>
      <vt:lpstr>Sheet6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USER</cp:lastModifiedBy>
  <cp:revision>0</cp:revision>
  <dcterms:created xsi:type="dcterms:W3CDTF">2026-07-02T04:00:40Z</dcterms:created>
  <dcterms:modified xsi:type="dcterms:W3CDTF">2026-07-14T05:38:01Z</dcterms:modified>
  <dc:language>en-US</dc:language>
</cp:coreProperties>
</file>